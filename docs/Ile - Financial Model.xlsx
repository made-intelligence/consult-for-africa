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Volumes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Annual" sheetId="8" state="visible" r:id="rId8"/>
    <sheet xmlns:r="http://schemas.openxmlformats.org/officeDocument/2006/relationships" name="Unit Economics" sheetId="9" state="visible" r:id="rId9"/>
    <sheet xmlns:r="http://schemas.openxmlformats.org/officeDocument/2006/relationships" name="Market" sheetId="10" state="visible" r:id="rId10"/>
    <sheet xmlns:r="http://schemas.openxmlformats.org/officeDocument/2006/relationships" name="Returns" sheetId="11" state="visible" r:id="rId11"/>
    <sheet xmlns:r="http://schemas.openxmlformats.org/officeDocument/2006/relationships" name="Scenarios" sheetId="12" state="visible" r:id="rId12"/>
  </sheets>
  <definedNames>
    <definedName name="FX">'Assumptions'!$B$5</definedName>
    <definedName name="DAYS_PM">'Assumptions'!$B$6</definedName>
    <definedName name="RES_SPEED">'Assumptions'!$B$7</definedName>
    <definedName name="MORT_SPEED">'Assumptions'!$B$8</definedName>
    <definedName name="RES_DELAY">'Assumptions'!$B$9</definedName>
    <definedName name="SAAS_ON">'Assumptions'!$B$10</definedName>
    <definedName name="HOME_M1">'Assumptions'!$B$14</definedName>
    <definedName name="HOME_V1">'Assumptions'!$C$14</definedName>
    <definedName name="HOME_M2">'Assumptions'!$D$14</definedName>
    <definedName name="HOME_V2">'Assumptions'!$E$14</definedName>
    <definedName name="HOME_M3">'Assumptions'!$F$14</definedName>
    <definedName name="HOME_V3">'Assumptions'!$G$14</definedName>
    <definedName name="HOME_ARPU">'Assumptions'!$B$15</definedName>
    <definedName name="HOME_DIRECT">'Assumptions'!$B$16</definedName>
    <definedName name="CONC_M1">'Assumptions'!$B$17</definedName>
    <definedName name="CONC_V1">'Assumptions'!$C$17</definedName>
    <definedName name="CONC_M2">'Assumptions'!$D$17</definedName>
    <definedName name="CONC_V2">'Assumptions'!$E$17</definedName>
    <definedName name="CONC_M3">'Assumptions'!$F$17</definedName>
    <definedName name="CONC_V3">'Assumptions'!$G$17</definedName>
    <definedName name="CONC_FEE">'Assumptions'!$B$18</definedName>
    <definedName name="CONC_DIRECT">'Assumptions'!$B$19</definedName>
    <definedName name="CONS_M1">'Assumptions'!$B$20</definedName>
    <definedName name="CONS_V1">'Assumptions'!$C$20</definedName>
    <definedName name="CONS_M2">'Assumptions'!$D$20</definedName>
    <definedName name="CONS_V2">'Assumptions'!$E$20</definedName>
    <definedName name="CONS_M3">'Assumptions'!$F$20</definedName>
    <definedName name="CONS_V3">'Assumptions'!$G$20</definedName>
    <definedName name="CONS_FEE">'Assumptions'!$B$21</definedName>
    <definedName name="CONS_DIRECT">'Assumptions'!$B$22</definedName>
    <definedName name="REHAB_M1">'Assumptions'!$B$23</definedName>
    <definedName name="REHAB_V1">'Assumptions'!$C$23</definedName>
    <definedName name="REHAB_M2">'Assumptions'!$D$23</definedName>
    <definedName name="REHAB_V2">'Assumptions'!$E$23</definedName>
    <definedName name="REHAB_M3">'Assumptions'!$F$23</definedName>
    <definedName name="REHAB_V3">'Assumptions'!$G$23</definedName>
    <definedName name="REHAB_FEE">'Assumptions'!$B$24</definedName>
    <definedName name="REHAB_DIRECT">'Assumptions'!$B$25</definedName>
    <definedName name="PALLH_M1">'Assumptions'!$B$26</definedName>
    <definedName name="PALLH_V1">'Assumptions'!$C$26</definedName>
    <definedName name="PALLH_M2">'Assumptions'!$D$26</definedName>
    <definedName name="PALLH_V2">'Assumptions'!$E$26</definedName>
    <definedName name="PALLH_M3">'Assumptions'!$F$26</definedName>
    <definedName name="PALLH_V3">'Assumptions'!$G$26</definedName>
    <definedName name="PALLH_FEE">'Assumptions'!$B$27</definedName>
    <definedName name="PALLH_DIRECT">'Assumptions'!$B$28</definedName>
    <definedName name="RES1_OPEN">'Assumptions'!$B$31</definedName>
    <definedName name="RES2_OPEN">'Assumptions'!$B$32</definedName>
    <definedName name="RES1_EFF">'Assumptions'!$B$33</definedName>
    <definedName name="RES2_EFF">'Assumptions'!$B$34</definedName>
    <definedName name="RES_BEDS">'Assumptions'!$B$35</definedName>
    <definedName name="STEP_BEDS">'Assumptions'!$B$36</definedName>
    <definedName name="PALL_BEDS">'Assumptions'!$B$37</definedName>
    <definedName name="RES_OPEN_OCC">'Assumptions'!$B$38</definedName>
    <definedName name="RES_STEP">'Assumptions'!$B$39</definedName>
    <definedName name="RES_CAP">'Assumptions'!$B$40</definedName>
    <definedName name="STEP_OPEN_OCC">'Assumptions'!$B$41</definedName>
    <definedName name="STEP_STEP">'Assumptions'!$B$42</definedName>
    <definedName name="STEP_CAP">'Assumptions'!$B$43</definedName>
    <definedName name="PALL_OPEN_OCC">'Assumptions'!$B$44</definedName>
    <definedName name="PALL_STEP">'Assumptions'!$B$45</definedName>
    <definedName name="PALL_CAP">'Assumptions'!$B$46</definedName>
    <definedName name="RES_FEE">'Assumptions'!$B$47</definedName>
    <definedName name="STEP_DAY">'Assumptions'!$B$48</definedName>
    <definedName name="STEP_STAY">'Assumptions'!$B$49</definedName>
    <definedName name="PALL_FEE">'Assumptions'!$B$50</definedName>
    <definedName name="RES_STAFF">'Assumptions'!$B$51</definedName>
    <definedName name="PREOPEN">'Assumptions'!$B$52</definedName>
    <definedName name="RES_PER_BED">'Assumptions'!$B$53</definedName>
    <definedName name="RES_UTIL">'Assumptions'!$B$54</definedName>
    <definedName name="RES_OTHER">'Assumptions'!$B$55</definedName>
    <definedName name="RES_LEASE_YR">'Assumptions'!$B$56</definedName>
    <definedName name="LEASE_LEAD">'Assumptions'!$B$57</definedName>
    <definedName name="RES_CONV">'Assumptions'!$B$58</definedName>
    <definedName name="RES_EQUIP">'Assumptions'!$B$59</definedName>
    <definedName name="EQUIP_MONTHS">'Assumptions'!$B$60</definedName>
    <definedName name="DEPOSIT">'Assumptions'!$B$61</definedName>
    <definedName name="DEPOSITS_N">'Assumptions'!$B$62</definedName>
    <definedName name="MORT_OPEN">'Assumptions'!$B$65</definedName>
    <definedName name="MORT_CAP1">'Assumptions'!$B$66</definedName>
    <definedName name="MORT_EXP_M">'Assumptions'!$B$67</definedName>
    <definedName name="MORT_CAP2">'Assumptions'!$B$68</definedName>
    <definedName name="MORT_FILL">'Assumptions'!$B$69</definedName>
    <definedName name="MORT_HELD_OPEN">'Assumptions'!$B$70</definedName>
    <definedName name="MORT_HELD_STEP">'Assumptions'!$B$71</definedName>
    <definedName name="MORT_STAY">'Assumptions'!$B$72</definedName>
    <definedName name="MORT_DAY">'Assumptions'!$B$73</definedName>
    <definedName name="MORT_CASE">'Assumptions'!$B$74</definedName>
    <definedName name="MORT_CASE_COST">'Assumptions'!$B$75</definedName>
    <definedName name="REPAT_M1">'Assumptions'!$B$77</definedName>
    <definedName name="REPAT_V1">'Assumptions'!$C$77</definedName>
    <definedName name="REPAT_M2">'Assumptions'!$D$77</definedName>
    <definedName name="REPAT_V2">'Assumptions'!$E$77</definedName>
    <definedName name="REPAT_M3">'Assumptions'!$F$77</definedName>
    <definedName name="REPAT_V3">'Assumptions'!$G$77</definedName>
    <definedName name="REPAT_FEE">'Assumptions'!$B$78</definedName>
    <definedName name="REPAT_DIRECT">'Assumptions'!$B$79</definedName>
    <definedName name="AUT_M1">'Assumptions'!$B$80</definedName>
    <definedName name="AUT_V1">'Assumptions'!$C$80</definedName>
    <definedName name="AUT_M2">'Assumptions'!$D$80</definedName>
    <definedName name="AUT_V2">'Assumptions'!$E$80</definedName>
    <definedName name="AUT_M3">'Assumptions'!$F$80</definedName>
    <definedName name="AUT_V3">'Assumptions'!$G$80</definedName>
    <definedName name="AUT_FEE">'Assumptions'!$B$81</definedName>
    <definedName name="AUT_DIRECT">'Assumptions'!$B$82</definedName>
    <definedName name="MSTAFF_M1">'Assumptions'!$B$84</definedName>
    <definedName name="MSTAFF_V1">'Assumptions'!$C$84</definedName>
    <definedName name="MSTAFF_M2">'Assumptions'!$D$84</definedName>
    <definedName name="MSTAFF_V2">'Assumptions'!$E$84</definedName>
    <definedName name="MPOWER_M1">'Assumptions'!$B$85</definedName>
    <definedName name="MPOWER_V1">'Assumptions'!$C$85</definedName>
    <definedName name="MPOWER_M2">'Assumptions'!$D$85</definedName>
    <definedName name="MPOWER_V2">'Assumptions'!$E$85</definedName>
    <definedName name="MORT_OTHER">'Assumptions'!$B$86</definedName>
    <definedName name="MORT_LEASE_YR">'Assumptions'!$B$87</definedName>
    <definedName name="MORT_LEASE_FROM">'Assumptions'!$B$88</definedName>
    <definedName name="MBUILD_M">'Assumptions'!$B$89</definedName>
    <definedName name="MBUILD">'Assumptions'!$B$90</definedName>
    <definedName name="MBUILD_N">'Assumptions'!$B$91</definedName>
    <definedName name="MEXP_M">'Assumptions'!$B$92</definedName>
    <definedName name="MEXP">'Assumptions'!$B$93</definedName>
    <definedName name="MEXP_N">'Assumptions'!$B$94</definedName>
    <definedName name="AUTCAP_M">'Assumptions'!$B$95</definedName>
    <definedName name="AUTCAP">'Assumptions'!$B$96</definedName>
    <definedName name="SAAS_M1">'Assumptions'!$B$100</definedName>
    <definedName name="SAAS_V1">'Assumptions'!$C$100</definedName>
    <definedName name="SAAS_M2">'Assumptions'!$D$100</definedName>
    <definedName name="SAAS_V2">'Assumptions'!$E$100</definedName>
    <definedName name="SAAS_M3">'Assumptions'!$F$100</definedName>
    <definedName name="SAAS_V3">'Assumptions'!$G$100</definedName>
    <definedName name="SAAS_FEE">'Assumptions'!$B$101</definedName>
    <definedName name="SAAS_DIRECT">'Assumptions'!$B$102</definedName>
    <definedName name="CENT_M1">'Assumptions'!$B$106</definedName>
    <definedName name="CENT_V1">'Assumptions'!$C$106</definedName>
    <definedName name="CENT_M2">'Assumptions'!$D$106</definedName>
    <definedName name="CENT_V2">'Assumptions'!$E$106</definedName>
    <definedName name="CENT_M3">'Assumptions'!$F$106</definedName>
    <definedName name="CENT_V3">'Assumptions'!$G$106</definedName>
    <definedName name="MKT_M1">'Assumptions'!$B$107</definedName>
    <definedName name="MKT_V1">'Assumptions'!$C$107</definedName>
    <definedName name="MKT_M2">'Assumptions'!$D$107</definedName>
    <definedName name="MKT_V2">'Assumptions'!$E$107</definedName>
    <definedName name="RAISE_USD">'Assumptions'!$B$110</definedName>
    <definedName name="STAKE">'Assumptions'!$B$111</definedName>
    <definedName name="RAISE_NGN">'Assumptions'!$B$112</definedName>
    <definedName name="POST_USD">'Assumptions'!$B$113</definedName>
    <definedName name="PRE_USD">'Assumptions'!$B$114</definedName>
    <definedName name="EXIT_LO">'Assumptions'!$B$115</definedName>
    <definedName name="EXIT_MID">'Assumptions'!$B$116</definedName>
    <definedName name="EXIT_HI">'Assumptions'!$B$117</definedName>
    <definedName name="FX_WEAK">'Assumptions'!$B$118</definedName>
    <definedName name="LAGOS_POP">'Assumptions'!$B$121</definedName>
    <definedName name="SHARE_60">'Assumptions'!$B$122</definedName>
    <definedName name="ADL_DEP">'Assumptions'!$B$123</definedName>
    <definedName name="NEEDS_24H">'Assumptions'!$B$124</definedName>
    <definedName name="DEATH_RATE">'Assumptions'!$B$125</definedName>
    <definedName name="PALL_NEED">'Assumptions'!$B$126</definedName>
    <definedName name="PALL_MONTHS">'Assumptions'!$B$127</definedName>
    <definedName name="PRIVATE_MORT">'Assumptions'!$B$128</definedName>
    <definedName name="PREMIUM">'Assumptions'!$B$129</definedName>
    <definedName name="PEAK">'Cash Flow'!$B$33</definedName>
    <definedName name="MINBAL">'Cash Flow'!$B$36</definedName>
    <definedName name="TROUGH_M">'Cash Flow'!$B$34</definedName>
    <definedName name="EBITDA_POS">'Cash Flow'!$B$35</definedName>
    <definedName name="Y5_EBITDA">'Annual'!$F$30</definedName>
    <definedName name="Y5_REV">'Annual'!$F$24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#,##0.0;(#,##0.0);&quot;-&quot;"/>
    <numFmt numFmtId="166" formatCode="0.0%;(0.0%);&quot;-&quot;"/>
    <numFmt numFmtId="167" formatCode="$#,##0;($#,##0);&quot;-&quot;"/>
    <numFmt numFmtId="168" formatCode="0.0&quot;x&quot;"/>
    <numFmt numFmtId="169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0F7C63"/>
      <sz val="13"/>
    </font>
    <font>
      <name val="Arial"/>
      <i val="1"/>
      <color rgb="007A847E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0F7C63"/>
      </patternFill>
    </fill>
    <fill>
      <patternFill patternType="solid">
        <fgColor rgb="00FFFF00"/>
      </patternFill>
    </fill>
    <fill>
      <patternFill patternType="solid">
        <fgColor rgb="00E3EDE7"/>
      </patternFill>
    </fill>
  </fills>
  <borders count="2">
    <border>
      <left/>
      <right/>
      <top/>
      <bottom/>
      <diagonal/>
    </border>
    <border>
      <top style="thin">
        <color rgb="00C9CFC8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49" fontId="7" fillId="0" borderId="0" pivotButton="0" quotePrefix="0" xfId="0"/>
    <xf numFmtId="167" fontId="7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3" borderId="0" pivotButton="0" quotePrefix="0" xfId="0"/>
    <xf numFmtId="0" fontId="3" fillId="2" borderId="0" pivotButton="0" quotePrefix="0" xfId="0"/>
    <xf numFmtId="0" fontId="8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3" borderId="0" pivotButton="0" quotePrefix="0" xfId="0"/>
    <xf numFmtId="1" fontId="5" fillId="3" borderId="0" pivotButton="0" quotePrefix="0" xfId="0"/>
    <xf numFmtId="1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" fontId="4" fillId="0" borderId="0" pivotButton="0" quotePrefix="0" xfId="0"/>
    <xf numFmtId="167" fontId="5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168" fontId="5" fillId="0" borderId="0" pivotButton="0" quotePrefix="0" xfId="0"/>
    <xf numFmtId="169" fontId="5" fillId="0" borderId="0" pivotButton="0" quotePrefix="0" xfId="0"/>
    <xf numFmtId="0" fontId="6" fillId="0" borderId="0" applyAlignment="1" pivotButton="0" quotePrefix="0" xfId="0">
      <alignment horizontal="right"/>
    </xf>
    <xf numFmtId="165" fontId="4" fillId="0" borderId="0" pivotButton="0" quotePrefix="0" xfId="0"/>
    <xf numFmtId="0" fontId="6" fillId="4" borderId="0" pivotButton="0" quotePrefix="0" xfId="0"/>
    <xf numFmtId="165" fontId="6" fillId="4" borderId="1" pivotButton="0" quotePrefix="0" xfId="0"/>
    <xf numFmtId="3" fontId="4" fillId="0" borderId="0" pivotButton="0" quotePrefix="0" xfId="0"/>
    <xf numFmtId="164" fontId="6" fillId="4" borderId="1" pivotButton="0" quotePrefix="0" xfId="0"/>
    <xf numFmtId="166" fontId="4" fillId="0" borderId="0" pivotButton="0" quotePrefix="0" xfId="0"/>
    <xf numFmtId="164" fontId="6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164" fontId="6" fillId="4" borderId="0" pivotButton="0" quotePrefix="0" xfId="0"/>
    <xf numFmtId="166" fontId="8" fillId="0" borderId="0" pivotButton="0" quotePrefix="0" xfId="0"/>
    <xf numFmtId="165" fontId="7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167" fontId="8" fillId="0" borderId="0" pivotButton="0" quotePrefix="0" xfId="0"/>
    <xf numFmtId="168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70" customWidth="1" min="3" max="3"/>
  </cols>
  <sheetData>
    <row r="1">
      <c r="A1" s="1" t="inlineStr">
        <is>
          <t>Ilé: five-year financial model</t>
        </is>
      </c>
      <c r="B1" s="2" t="n"/>
    </row>
    <row r="2">
      <c r="A2" s="3" t="inlineStr">
        <is>
          <t>October 2026. Confidential. Contact: kemotoks@hotmail.com</t>
        </is>
      </c>
      <c r="B2" s="2" t="n"/>
    </row>
    <row r="3">
      <c r="A3" s="2" t="n"/>
      <c r="B3" s="2" t="n"/>
    </row>
    <row r="4">
      <c r="A4" s="4" t="inlineStr">
        <is>
          <t>Headline</t>
        </is>
      </c>
      <c r="B4" s="2" t="n"/>
    </row>
    <row r="5">
      <c r="A5" s="2" t="inlineStr">
        <is>
          <t>Year-five revenue</t>
        </is>
      </c>
      <c r="B5" s="5">
        <f>Y5_REV</f>
        <v/>
      </c>
    </row>
    <row r="6">
      <c r="A6" s="2" t="inlineStr">
        <is>
          <t>Year-five EBITDA</t>
        </is>
      </c>
      <c r="B6" s="5">
        <f>Y5_EBITDA</f>
        <v/>
      </c>
    </row>
    <row r="7">
      <c r="A7" s="2" t="inlineStr">
        <is>
          <t>Year-five EBITDA margin</t>
        </is>
      </c>
      <c r="B7" s="6">
        <f>IF(Y5_REV=0,0,Y5_EBITDA/Y5_REV)</f>
        <v/>
      </c>
    </row>
    <row r="8">
      <c r="A8" s="2" t="inlineStr">
        <is>
          <t>Peak funding need</t>
        </is>
      </c>
      <c r="B8" s="5">
        <f>PEAK</f>
        <v/>
      </c>
    </row>
    <row r="9">
      <c r="A9" s="2" t="inlineStr">
        <is>
          <t>Month cash is lowest</t>
        </is>
      </c>
      <c r="B9" s="7">
        <f>TROUGH_M</f>
        <v/>
      </c>
    </row>
    <row r="10">
      <c r="A10" s="2" t="inlineStr">
        <is>
          <t>EBITDA positive from</t>
        </is>
      </c>
      <c r="B10" s="7">
        <f>EBITDA_POS</f>
        <v/>
      </c>
    </row>
    <row r="11">
      <c r="A11" s="2" t="inlineStr">
        <is>
          <t>Raise</t>
        </is>
      </c>
      <c r="B11" s="8">
        <f>RAISE_USD</f>
        <v/>
      </c>
    </row>
    <row r="12">
      <c r="A12" s="2" t="inlineStr">
        <is>
          <t>Raise in naira</t>
        </is>
      </c>
      <c r="B12" s="5">
        <f>RAISE_NGN</f>
        <v/>
      </c>
    </row>
    <row r="13">
      <c r="A13" s="2" t="inlineStr">
        <is>
          <t>Lowest cash balance after the raise</t>
        </is>
      </c>
      <c r="B13" s="5">
        <f>MINBAL</f>
        <v/>
      </c>
    </row>
    <row r="14">
      <c r="A14" s="2" t="n"/>
      <c r="B14" s="2" t="n"/>
    </row>
    <row r="15">
      <c r="A15" s="2" t="n"/>
      <c r="B15" s="2" t="n"/>
    </row>
    <row r="16">
      <c r="A16" s="4" t="inlineStr">
        <is>
          <t>How the model is built</t>
        </is>
      </c>
      <c r="B16" s="2" t="n"/>
    </row>
    <row r="17">
      <c r="A17" s="9" t="inlineStr">
        <is>
          <t>Assumptions</t>
        </is>
      </c>
      <c r="B17" s="2" t="inlineStr">
        <is>
          <t>Every input, named and blue, with its source. Yellow cells are scenario levers.</t>
        </is>
      </c>
    </row>
    <row r="18">
      <c r="A18" s="9" t="inlineStr">
        <is>
          <t>Volumes</t>
        </is>
      </c>
      <c r="B18" s="2" t="inlineStr">
        <is>
          <t>Clients, members, beds, bodies, cases and licences by month.</t>
        </is>
      </c>
    </row>
    <row r="19">
      <c r="A19" s="9" t="inlineStr">
        <is>
          <t>Revenue</t>
        </is>
      </c>
      <c r="B19" s="2" t="inlineStr">
        <is>
          <t>Twelve streams in four business lines: care in the home, residential care, mortuary and pathology, software.</t>
        </is>
      </c>
    </row>
    <row r="20">
      <c r="A20" s="9" t="inlineStr">
        <is>
          <t>Costs</t>
        </is>
      </c>
      <c r="B20" s="2" t="inlineStr">
        <is>
          <t>Four buckets: direct by stream, site operating, leases, central overhead.</t>
        </is>
      </c>
    </row>
    <row r="21">
      <c r="A21" s="9" t="inlineStr">
        <is>
          <t>P&amp;L</t>
        </is>
      </c>
      <c r="B21" s="2" t="inlineStr">
        <is>
          <t>Revenue by line less the four cost buckets gives EBITDA.</t>
        </is>
      </c>
    </row>
    <row r="22">
      <c r="A22" s="9" t="inlineStr">
        <is>
          <t>Cash Flow</t>
        </is>
      </c>
      <c r="B22" s="2" t="inlineStr">
        <is>
          <t>EBITDA, leases paid a year ahead, capital spend, deposits, the raise, cumulative cash.</t>
        </is>
      </c>
    </row>
    <row r="23">
      <c r="A23" s="9" t="inlineStr">
        <is>
          <t>Annual</t>
        </is>
      </c>
      <c r="B23" s="2" t="inlineStr">
        <is>
          <t>Five-year summary; every figure sums the monthly sheets.</t>
        </is>
      </c>
    </row>
    <row r="24">
      <c r="A24" s="9" t="inlineStr">
        <is>
          <t>Unit Economics</t>
        </is>
      </c>
      <c r="B24" s="2" t="inlineStr">
        <is>
          <t>Per member, client, package, residence and mortuary at steady state.</t>
        </is>
      </c>
    </row>
    <row r="25">
      <c r="A25" s="9" t="inlineStr">
        <is>
          <t>Market</t>
        </is>
      </c>
      <c r="B25" s="2" t="inlineStr">
        <is>
          <t>Bottom-up Lagos sizing with checks against England and the US.</t>
        </is>
      </c>
    </row>
    <row r="26">
      <c r="A26" s="9" t="inlineStr">
        <is>
          <t>Returns</t>
        </is>
      </c>
      <c r="B26" s="2" t="inlineStr">
        <is>
          <t>The round, and the investor's stake at six, eight and ten times EBITDA.</t>
        </is>
      </c>
    </row>
    <row r="27">
      <c r="A27" s="9" t="inlineStr">
        <is>
          <t>Scenarios</t>
        </is>
      </c>
      <c r="B27" s="2" t="inlineStr">
        <is>
          <t>Recorded stress cases, and the live result at the current levers.</t>
        </is>
      </c>
    </row>
    <row r="28">
      <c r="A28" s="2" t="n"/>
      <c r="B28" s="2" t="n"/>
    </row>
    <row r="29">
      <c r="A29" s="2" t="n"/>
      <c r="B29" s="2" t="n"/>
    </row>
    <row r="30">
      <c r="A30" s="4" t="inlineStr">
        <is>
          <t>Colour code</t>
        </is>
      </c>
      <c r="B30" s="2" t="n"/>
    </row>
    <row r="31">
      <c r="A31" s="10" t="inlineStr">
        <is>
          <t>Blue text: input</t>
        </is>
      </c>
      <c r="B31" s="2" t="n"/>
    </row>
    <row r="32">
      <c r="A32" s="2" t="inlineStr">
        <is>
          <t>Black text: formula</t>
        </is>
      </c>
      <c r="B32" s="2" t="n"/>
    </row>
    <row r="33">
      <c r="A33" s="9" t="inlineStr">
        <is>
          <t>Green text: link to another sheet</t>
        </is>
      </c>
      <c r="B33" s="2" t="n"/>
    </row>
    <row r="34">
      <c r="A34" s="11" t="inlineStr">
        <is>
          <t>Yellow fill: scenario lever</t>
        </is>
      </c>
      <c r="B34" s="2" t="n"/>
    </row>
    <row r="35">
      <c r="A35" s="2" t="n"/>
      <c r="B35" s="2" t="n"/>
    </row>
    <row r="36">
      <c r="A36" s="3" t="inlineStr">
        <is>
          <t>Before tax and depreciation. Figures in naira unless marked; ₦1,500 to the dollar. Ilé is a working name.</t>
        </is>
      </c>
      <c r="B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Ilé: 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Blue = input you can change. Every formula in the workbook reads these named cells. Yellow = scenario lever.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2" t="inlineStr">
        <is>
          <t>0. Model and scenario levers</t>
        </is>
      </c>
      <c r="B4" s="13" t="n"/>
      <c r="C4" s="13" t="n"/>
      <c r="D4" s="13" t="n"/>
      <c r="E4" s="13" t="n"/>
      <c r="F4" s="13" t="n"/>
      <c r="G4" s="13" t="n"/>
      <c r="H4" s="13" t="n"/>
    </row>
    <row r="5">
      <c r="A5" s="14" t="inlineStr">
        <is>
          <t>Naira per US dollar</t>
        </is>
      </c>
      <c r="B5" s="15" t="n">
        <v>1500</v>
      </c>
      <c r="C5" s="3" t="inlineStr">
        <is>
          <t>₦/$</t>
        </is>
      </c>
      <c r="D5" s="2" t="n"/>
      <c r="E5" s="2" t="n"/>
      <c r="F5" s="2" t="n"/>
      <c r="G5" s="2" t="n"/>
      <c r="H5" s="3" t="inlineStr">
        <is>
          <t>Flat over five years; families abroad pay in dollars or pounds</t>
        </is>
      </c>
    </row>
    <row r="6">
      <c r="A6" s="14" t="inlineStr">
        <is>
          <t>Days in a month</t>
        </is>
      </c>
      <c r="B6" s="16" t="n">
        <v>30.4</v>
      </c>
      <c r="C6" s="3" t="inlineStr">
        <is>
          <t>days</t>
        </is>
      </c>
      <c r="D6" s="2" t="n"/>
      <c r="E6" s="2" t="n"/>
      <c r="F6" s="2" t="n"/>
      <c r="G6" s="2" t="n"/>
      <c r="H6" s="3" t="inlineStr"/>
    </row>
    <row r="7">
      <c r="A7" s="14" t="inlineStr">
        <is>
          <t>Residence fill speed</t>
        </is>
      </c>
      <c r="B7" s="17" t="n">
        <v>1</v>
      </c>
      <c r="C7" s="3" t="inlineStr">
        <is>
          <t>x base</t>
        </is>
      </c>
      <c r="D7" s="2" t="n"/>
      <c r="E7" s="2" t="n"/>
      <c r="F7" s="2" t="n"/>
      <c r="G7" s="2" t="n"/>
      <c r="H7" s="3" t="inlineStr">
        <is>
          <t>1 = base case; 0.5 = half speed (applies to all three wings)</t>
        </is>
      </c>
    </row>
    <row r="8">
      <c r="A8" s="14" t="inlineStr">
        <is>
          <t>Mortuary fill speed</t>
        </is>
      </c>
      <c r="B8" s="17" t="n">
        <v>1</v>
      </c>
      <c r="C8" s="3" t="inlineStr">
        <is>
          <t>x base</t>
        </is>
      </c>
      <c r="D8" s="2" t="n"/>
      <c r="E8" s="2" t="n"/>
      <c r="F8" s="2" t="n"/>
      <c r="G8" s="2" t="n"/>
      <c r="H8" s="3" t="inlineStr">
        <is>
          <t>1 = base case; 0.5 = half speed</t>
        </is>
      </c>
    </row>
    <row r="9">
      <c r="A9" s="14" t="inlineStr">
        <is>
          <t>Residence delay</t>
        </is>
      </c>
      <c r="B9" s="18" t="n">
        <v>0</v>
      </c>
      <c r="C9" s="3" t="inlineStr">
        <is>
          <t>months</t>
        </is>
      </c>
      <c r="D9" s="2" t="n"/>
      <c r="E9" s="2" t="n"/>
      <c r="F9" s="2" t="n"/>
      <c r="G9" s="2" t="n"/>
      <c r="H9" s="3" t="inlineStr">
        <is>
          <t>Months both residences open late</t>
        </is>
      </c>
    </row>
    <row r="10">
      <c r="A10" s="14" t="inlineStr">
        <is>
          <t>Software licences sold</t>
        </is>
      </c>
      <c r="B10" s="18" t="n">
        <v>1</v>
      </c>
      <c r="C10" s="3" t="inlineStr">
        <is>
          <t>1 or 0</t>
        </is>
      </c>
      <c r="D10" s="2" t="n"/>
      <c r="E10" s="2" t="n"/>
      <c r="F10" s="2" t="n"/>
      <c r="G10" s="2" t="n"/>
      <c r="H10" s="3" t="inlineStr">
        <is>
          <t>0 = no software revenue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12" t="inlineStr">
        <is>
          <t>1. Care in the home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2" t="n"/>
      <c r="B13" s="3" t="inlineStr">
        <is>
          <t>Month 1</t>
        </is>
      </c>
      <c r="C13" s="3" t="inlineStr">
        <is>
          <t>Value 1</t>
        </is>
      </c>
      <c r="D13" s="3" t="inlineStr">
        <is>
          <t>Month 2</t>
        </is>
      </c>
      <c r="E13" s="3" t="inlineStr">
        <is>
          <t>Value 2</t>
        </is>
      </c>
      <c r="F13" s="3" t="inlineStr">
        <is>
          <t>Month 3</t>
        </is>
      </c>
      <c r="G13" s="3" t="inlineStr">
        <is>
          <t>Value 3</t>
        </is>
      </c>
      <c r="H13" s="2" t="n"/>
    </row>
    <row r="14">
      <c r="A14" s="14" t="inlineStr">
        <is>
          <t>Care at home clients (ramp)</t>
        </is>
      </c>
      <c r="B14" s="19" t="n">
        <v>2</v>
      </c>
      <c r="C14" s="20" t="n">
        <v>4</v>
      </c>
      <c r="D14" s="19" t="n">
        <v>18</v>
      </c>
      <c r="E14" s="20" t="n">
        <v>60</v>
      </c>
      <c r="F14" s="19" t="n">
        <v>60</v>
      </c>
      <c r="G14" s="20" t="n">
        <v>110</v>
      </c>
      <c r="H14" s="3" t="inlineStr">
        <is>
          <t>Clients on subscription; linear between points, flat after</t>
        </is>
      </c>
    </row>
    <row r="15">
      <c r="A15" s="14" t="inlineStr">
        <is>
          <t>Care at home revenue per client</t>
        </is>
      </c>
      <c r="B15" s="15" t="n">
        <v>420000</v>
      </c>
      <c r="C15" s="3" t="inlineStr">
        <is>
          <t>₦/month</t>
        </is>
      </c>
      <c r="D15" s="2" t="n"/>
      <c r="E15" s="2" t="n"/>
      <c r="F15" s="2" t="n"/>
      <c r="G15" s="2" t="n"/>
      <c r="H15" s="3" t="inlineStr">
        <is>
          <t>Blended subscription; Lagos agencies charge ₦119k to ₦359k for carer and nurse packages</t>
        </is>
      </c>
    </row>
    <row r="16">
      <c r="A16" s="14" t="inlineStr">
        <is>
          <t>Care at home direct cost</t>
        </is>
      </c>
      <c r="B16" s="21" t="n">
        <v>0.6</v>
      </c>
      <c r="C16" s="3" t="inlineStr">
        <is>
          <t>of revenue</t>
        </is>
      </c>
      <c r="D16" s="2" t="n"/>
      <c r="E16" s="2" t="n"/>
      <c r="F16" s="2" t="n"/>
      <c r="G16" s="2" t="n"/>
      <c r="H16" s="3" t="inlineStr">
        <is>
          <t>Carer pay, travel, consumables</t>
        </is>
      </c>
    </row>
    <row r="17">
      <c r="A17" s="14" t="inlineStr">
        <is>
          <t>Concierge members (ramp)</t>
        </is>
      </c>
      <c r="B17" s="19" t="n">
        <v>3</v>
      </c>
      <c r="C17" s="20" t="n">
        <v>3</v>
      </c>
      <c r="D17" s="19" t="n">
        <v>24</v>
      </c>
      <c r="E17" s="20" t="n">
        <v>30</v>
      </c>
      <c r="F17" s="19" t="n">
        <v>60</v>
      </c>
      <c r="G17" s="20" t="n">
        <v>60</v>
      </c>
      <c r="H17" s="3" t="inlineStr"/>
    </row>
    <row r="18">
      <c r="A18" s="14" t="inlineStr">
        <is>
          <t>Concierge fee</t>
        </is>
      </c>
      <c r="B18" s="15" t="n">
        <v>650000</v>
      </c>
      <c r="C18" s="3" t="inlineStr">
        <is>
          <t>₦/month</t>
        </is>
      </c>
      <c r="D18" s="2" t="n"/>
      <c r="E18" s="2" t="n"/>
      <c r="F18" s="2" t="n"/>
      <c r="G18" s="2" t="n"/>
      <c r="H18" s="3" t="inlineStr">
        <is>
          <t>Named doctor and care manager, 24-hour line, hospital visits</t>
        </is>
      </c>
    </row>
    <row r="19">
      <c r="A19" s="14" t="inlineStr">
        <is>
          <t>Concierge direct cost</t>
        </is>
      </c>
      <c r="B19" s="21" t="n">
        <v>0.5</v>
      </c>
      <c r="C19" s="3" t="inlineStr">
        <is>
          <t>of revenue</t>
        </is>
      </c>
      <c r="D19" s="2" t="n"/>
      <c r="E19" s="2" t="n"/>
      <c r="F19" s="2" t="n"/>
      <c r="G19" s="2" t="n"/>
      <c r="H19" s="3" t="inlineStr"/>
    </row>
    <row r="20">
      <c r="A20" s="14" t="inlineStr">
        <is>
          <t>Virtual consultations a month (ramp)</t>
        </is>
      </c>
      <c r="B20" s="19" t="n">
        <v>2</v>
      </c>
      <c r="C20" s="20" t="n">
        <v>30</v>
      </c>
      <c r="D20" s="19" t="n">
        <v>36</v>
      </c>
      <c r="E20" s="20" t="n">
        <v>250</v>
      </c>
      <c r="F20" s="19" t="n">
        <v>60</v>
      </c>
      <c r="G20" s="20" t="n">
        <v>350</v>
      </c>
      <c r="H20" s="3" t="inlineStr"/>
    </row>
    <row r="21">
      <c r="A21" s="14" t="inlineStr">
        <is>
          <t>Consultation fee</t>
        </is>
      </c>
      <c r="B21" s="15" t="n">
        <v>30000</v>
      </c>
      <c r="C21" s="3" t="inlineStr">
        <is>
          <t>₦ each</t>
        </is>
      </c>
      <c r="D21" s="2" t="n"/>
      <c r="E21" s="2" t="n"/>
      <c r="F21" s="2" t="n"/>
      <c r="G21" s="2" t="n"/>
      <c r="H21" s="3" t="inlineStr"/>
    </row>
    <row r="22">
      <c r="A22" s="14" t="inlineStr">
        <is>
          <t>Consultation direct cost</t>
        </is>
      </c>
      <c r="B22" s="21" t="n">
        <v>0.45</v>
      </c>
      <c r="C22" s="3" t="inlineStr">
        <is>
          <t>of revenue</t>
        </is>
      </c>
      <c r="D22" s="2" t="n"/>
      <c r="E22" s="2" t="n"/>
      <c r="F22" s="2" t="n"/>
      <c r="G22" s="2" t="n"/>
      <c r="H22" s="3" t="inlineStr"/>
    </row>
    <row r="23">
      <c r="A23" s="14" t="inlineStr">
        <is>
          <t>Post-operative rehab packages a month (ramp)</t>
        </is>
      </c>
      <c r="B23" s="19" t="n">
        <v>4</v>
      </c>
      <c r="C23" s="20" t="n">
        <v>2</v>
      </c>
      <c r="D23" s="19" t="n">
        <v>36</v>
      </c>
      <c r="E23" s="20" t="n">
        <v>10</v>
      </c>
      <c r="F23" s="19" t="n">
        <v>60</v>
      </c>
      <c r="G23" s="20" t="n">
        <v>15</v>
      </c>
      <c r="H23" s="3" t="inlineStr"/>
    </row>
    <row r="24">
      <c r="A24" s="14" t="inlineStr">
        <is>
          <t>Rehab package fee</t>
        </is>
      </c>
      <c r="B24" s="15" t="n">
        <v>1200000</v>
      </c>
      <c r="C24" s="3" t="inlineStr">
        <is>
          <t>₦ per six weeks</t>
        </is>
      </c>
      <c r="D24" s="2" t="n"/>
      <c r="E24" s="2" t="n"/>
      <c r="F24" s="2" t="n"/>
      <c r="G24" s="2" t="n"/>
      <c r="H24" s="3" t="inlineStr"/>
    </row>
    <row r="25">
      <c r="A25" s="14" t="inlineStr">
        <is>
          <t>Rehab direct cost</t>
        </is>
      </c>
      <c r="B25" s="21" t="n">
        <v>0.55</v>
      </c>
      <c r="C25" s="3" t="inlineStr">
        <is>
          <t>of revenue</t>
        </is>
      </c>
      <c r="D25" s="2" t="n"/>
      <c r="E25" s="2" t="n"/>
      <c r="F25" s="2" t="n"/>
      <c r="G25" s="2" t="n"/>
      <c r="H25" s="3" t="inlineStr"/>
    </row>
    <row r="26">
      <c r="A26" s="14" t="inlineStr">
        <is>
          <t>Palliative patients at home (ramp)</t>
        </is>
      </c>
      <c r="B26" s="19" t="n">
        <v>6</v>
      </c>
      <c r="C26" s="20" t="n">
        <v>2</v>
      </c>
      <c r="D26" s="19" t="n">
        <v>24</v>
      </c>
      <c r="E26" s="20" t="n">
        <v>15</v>
      </c>
      <c r="F26" s="19" t="n">
        <v>60</v>
      </c>
      <c r="G26" s="20" t="n">
        <v>25</v>
      </c>
      <c r="H26" s="3" t="inlineStr"/>
    </row>
    <row r="27">
      <c r="A27" s="14" t="inlineStr">
        <is>
          <t>Palliative at home fee</t>
        </is>
      </c>
      <c r="B27" s="15" t="n">
        <v>900000</v>
      </c>
      <c r="C27" s="3" t="inlineStr">
        <is>
          <t>₦/month</t>
        </is>
      </c>
      <c r="D27" s="2" t="n"/>
      <c r="E27" s="2" t="n"/>
      <c r="F27" s="2" t="n"/>
      <c r="G27" s="2" t="n"/>
      <c r="H27" s="3" t="inlineStr"/>
    </row>
    <row r="28">
      <c r="A28" s="14" t="inlineStr">
        <is>
          <t>Palliative at home direct cost</t>
        </is>
      </c>
      <c r="B28" s="21" t="n">
        <v>0.65</v>
      </c>
      <c r="C28" s="3" t="inlineStr">
        <is>
          <t>of revenue</t>
        </is>
      </c>
      <c r="D28" s="2" t="n"/>
      <c r="E28" s="2" t="n"/>
      <c r="F28" s="2" t="n"/>
      <c r="G28" s="2" t="n"/>
      <c r="H28" s="3" t="inlineStr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12" t="inlineStr">
        <is>
          <t>2. Residential care (per residence)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>
      <c r="A31" s="14" t="inlineStr">
        <is>
          <t>Residence one opens</t>
        </is>
      </c>
      <c r="B31" s="19" t="n">
        <v>15</v>
      </c>
      <c r="C31" s="3" t="inlineStr">
        <is>
          <t>month</t>
        </is>
      </c>
      <c r="D31" s="2" t="n"/>
      <c r="E31" s="2" t="n"/>
      <c r="F31" s="2" t="n"/>
      <c r="G31" s="2" t="n"/>
      <c r="H31" s="3" t="inlineStr">
        <is>
          <t>Month 15 = January 2028</t>
        </is>
      </c>
    </row>
    <row r="32">
      <c r="A32" s="14" t="inlineStr">
        <is>
          <t>Residence two opens</t>
        </is>
      </c>
      <c r="B32" s="19" t="n">
        <v>43</v>
      </c>
      <c r="C32" s="3" t="inlineStr">
        <is>
          <t>month</t>
        </is>
      </c>
      <c r="D32" s="2" t="n"/>
      <c r="E32" s="2" t="n"/>
      <c r="F32" s="2" t="n"/>
      <c r="G32" s="2" t="n"/>
      <c r="H32" s="3" t="inlineStr">
        <is>
          <t>Month 43 = May 2030; paid for from cash flow</t>
        </is>
      </c>
    </row>
    <row r="33">
      <c r="A33" s="14" t="inlineStr">
        <is>
          <t>Residence one opens, after any delay</t>
        </is>
      </c>
      <c r="B33" s="22">
        <f>RES1_OPEN+RES_DELAY</f>
        <v/>
      </c>
      <c r="C33" s="2" t="n"/>
      <c r="D33" s="2" t="n"/>
      <c r="E33" s="2" t="n"/>
      <c r="F33" s="2" t="n"/>
      <c r="G33" s="2" t="n"/>
      <c r="H33" s="3" t="inlineStr"/>
    </row>
    <row r="34">
      <c r="A34" s="14" t="inlineStr">
        <is>
          <t>Residence two opens, after any delay</t>
        </is>
      </c>
      <c r="B34" s="22">
        <f>RES2_OPEN+RES_DELAY</f>
        <v/>
      </c>
      <c r="C34" s="2" t="n"/>
      <c r="D34" s="2" t="n"/>
      <c r="E34" s="2" t="n"/>
      <c r="F34" s="2" t="n"/>
      <c r="G34" s="2" t="n"/>
      <c r="H34" s="3" t="inlineStr"/>
    </row>
    <row r="35">
      <c r="A35" s="14" t="inlineStr">
        <is>
          <t>Long-stay beds</t>
        </is>
      </c>
      <c r="B35" s="19" t="n">
        <v>12</v>
      </c>
      <c r="C35" s="3" t="inlineStr">
        <is>
          <t>beds</t>
        </is>
      </c>
      <c r="D35" s="2" t="n"/>
      <c r="E35" s="2" t="n"/>
      <c r="F35" s="2" t="n"/>
      <c r="G35" s="2" t="n"/>
      <c r="H35" s="3" t="inlineStr">
        <is>
          <t>20 beds in all: 12 long-stay, 4 step-down, 4 palliative</t>
        </is>
      </c>
    </row>
    <row r="36">
      <c r="A36" s="14" t="inlineStr">
        <is>
          <t>Step-down and rehab beds</t>
        </is>
      </c>
      <c r="B36" s="19" t="n">
        <v>4</v>
      </c>
      <c r="C36" s="3" t="inlineStr">
        <is>
          <t>beds</t>
        </is>
      </c>
      <c r="D36" s="2" t="n"/>
      <c r="E36" s="2" t="n"/>
      <c r="F36" s="2" t="n"/>
      <c r="G36" s="2" t="n"/>
      <c r="H36" s="3" t="inlineStr"/>
    </row>
    <row r="37">
      <c r="A37" s="14" t="inlineStr">
        <is>
          <t>Palliative beds</t>
        </is>
      </c>
      <c r="B37" s="19" t="n">
        <v>4</v>
      </c>
      <c r="C37" s="3" t="inlineStr">
        <is>
          <t>beds</t>
        </is>
      </c>
      <c r="D37" s="2" t="n"/>
      <c r="E37" s="2" t="n"/>
      <c r="F37" s="2" t="n"/>
      <c r="G37" s="2" t="n"/>
      <c r="H37" s="3" t="inlineStr"/>
    </row>
    <row r="38">
      <c r="A38" s="14" t="inlineStr">
        <is>
          <t>Long-stay occupied at opening</t>
        </is>
      </c>
      <c r="B38" s="16" t="n">
        <v>5</v>
      </c>
      <c r="C38" s="3" t="inlineStr">
        <is>
          <t>beds</t>
        </is>
      </c>
      <c r="D38" s="2" t="n"/>
      <c r="E38" s="2" t="n"/>
      <c r="F38" s="2" t="n"/>
      <c r="G38" s="2" t="n"/>
      <c r="H38" s="3" t="inlineStr">
        <is>
          <t>Reserved by deposit before opening</t>
        </is>
      </c>
    </row>
    <row r="39">
      <c r="A39" s="14" t="inlineStr">
        <is>
          <t>Long-stay beds added a month</t>
        </is>
      </c>
      <c r="B39" s="16" t="n">
        <v>0.8</v>
      </c>
      <c r="C39" s="3" t="inlineStr">
        <is>
          <t>beds</t>
        </is>
      </c>
      <c r="D39" s="2" t="n"/>
      <c r="E39" s="2" t="n"/>
      <c r="F39" s="2" t="n"/>
      <c r="G39" s="2" t="n"/>
      <c r="H39" s="3" t="inlineStr"/>
    </row>
    <row r="40">
      <c r="A40" s="14" t="inlineStr">
        <is>
          <t>Long-stay occupancy ceiling</t>
        </is>
      </c>
      <c r="B40" s="16" t="n">
        <v>11</v>
      </c>
      <c r="C40" s="3" t="inlineStr">
        <is>
          <t>beds</t>
        </is>
      </c>
      <c r="D40" s="2" t="n"/>
      <c r="E40" s="2" t="n"/>
      <c r="F40" s="2" t="n"/>
      <c r="G40" s="2" t="n"/>
      <c r="H40" s="3" t="inlineStr">
        <is>
          <t>11 of 12, 92%</t>
        </is>
      </c>
    </row>
    <row r="41">
      <c r="A41" s="14" t="inlineStr">
        <is>
          <t>Step-down occupied at opening</t>
        </is>
      </c>
      <c r="B41" s="16" t="n">
        <v>1</v>
      </c>
      <c r="C41" s="3" t="inlineStr">
        <is>
          <t>beds</t>
        </is>
      </c>
      <c r="D41" s="2" t="n"/>
      <c r="E41" s="2" t="n"/>
      <c r="F41" s="2" t="n"/>
      <c r="G41" s="2" t="n"/>
      <c r="H41" s="3" t="inlineStr"/>
    </row>
    <row r="42">
      <c r="A42" s="14" t="inlineStr">
        <is>
          <t>Step-down beds added a month</t>
        </is>
      </c>
      <c r="B42" s="16" t="n">
        <v>0.25</v>
      </c>
      <c r="C42" s="3" t="inlineStr">
        <is>
          <t>beds</t>
        </is>
      </c>
      <c r="D42" s="2" t="n"/>
      <c r="E42" s="2" t="n"/>
      <c r="F42" s="2" t="n"/>
      <c r="G42" s="2" t="n"/>
      <c r="H42" s="3" t="inlineStr"/>
    </row>
    <row r="43">
      <c r="A43" s="14" t="inlineStr">
        <is>
          <t>Step-down occupancy ceiling</t>
        </is>
      </c>
      <c r="B43" s="16" t="n">
        <v>3</v>
      </c>
      <c r="C43" s="3" t="inlineStr">
        <is>
          <t>beds</t>
        </is>
      </c>
      <c r="D43" s="2" t="n"/>
      <c r="E43" s="2" t="n"/>
      <c r="F43" s="2" t="n"/>
      <c r="G43" s="2" t="n"/>
      <c r="H43" s="3" t="inlineStr"/>
    </row>
    <row r="44">
      <c r="A44" s="14" t="inlineStr">
        <is>
          <t>Palliative occupied at opening</t>
        </is>
      </c>
      <c r="B44" s="16" t="n">
        <v>1</v>
      </c>
      <c r="C44" s="3" t="inlineStr">
        <is>
          <t>beds</t>
        </is>
      </c>
      <c r="D44" s="2" t="n"/>
      <c r="E44" s="2" t="n"/>
      <c r="F44" s="2" t="n"/>
      <c r="G44" s="2" t="n"/>
      <c r="H44" s="3" t="inlineStr"/>
    </row>
    <row r="45">
      <c r="A45" s="14" t="inlineStr">
        <is>
          <t>Palliative beds added a month</t>
        </is>
      </c>
      <c r="B45" s="16" t="n">
        <v>0.3</v>
      </c>
      <c r="C45" s="3" t="inlineStr">
        <is>
          <t>beds</t>
        </is>
      </c>
      <c r="D45" s="2" t="n"/>
      <c r="E45" s="2" t="n"/>
      <c r="F45" s="2" t="n"/>
      <c r="G45" s="2" t="n"/>
      <c r="H45" s="3" t="inlineStr"/>
    </row>
    <row r="46">
      <c r="A46" s="14" t="inlineStr">
        <is>
          <t>Palliative occupancy ceiling</t>
        </is>
      </c>
      <c r="B46" s="16" t="n">
        <v>3</v>
      </c>
      <c r="C46" s="3" t="inlineStr">
        <is>
          <t>beds</t>
        </is>
      </c>
      <c r="D46" s="2" t="n"/>
      <c r="E46" s="2" t="n"/>
      <c r="F46" s="2" t="n"/>
      <c r="G46" s="2" t="n"/>
      <c r="H46" s="3" t="inlineStr"/>
    </row>
    <row r="47">
      <c r="A47" s="14" t="inlineStr">
        <is>
          <t>Long-stay fee</t>
        </is>
      </c>
      <c r="B47" s="15" t="n">
        <v>1600000</v>
      </c>
      <c r="C47" s="3" t="inlineStr">
        <is>
          <t>₦/month</t>
        </is>
      </c>
      <c r="D47" s="2" t="n"/>
      <c r="E47" s="2" t="n"/>
      <c r="F47" s="2" t="n"/>
      <c r="G47" s="2" t="n"/>
      <c r="H47" s="3" t="inlineStr">
        <is>
          <t>About $1,070; Lagos homes publish ₦79k to ₦249k without night nursing</t>
        </is>
      </c>
    </row>
    <row r="48">
      <c r="A48" s="14" t="inlineStr">
        <is>
          <t>Step-down day rate</t>
        </is>
      </c>
      <c r="B48" s="15" t="n">
        <v>85000</v>
      </c>
      <c r="C48" s="3" t="inlineStr">
        <is>
          <t>₦/day</t>
        </is>
      </c>
      <c r="D48" s="2" t="n"/>
      <c r="E48" s="2" t="n"/>
      <c r="F48" s="2" t="n"/>
      <c r="G48" s="2" t="n"/>
      <c r="H48" s="3" t="inlineStr">
        <is>
          <t>Nursing and daily physiotherapy</t>
        </is>
      </c>
    </row>
    <row r="49">
      <c r="A49" s="14" t="inlineStr">
        <is>
          <t>Step-down average stay</t>
        </is>
      </c>
      <c r="B49" s="19" t="n">
        <v>21</v>
      </c>
      <c r="C49" s="3" t="inlineStr">
        <is>
          <t>days</t>
        </is>
      </c>
      <c r="D49" s="2" t="n"/>
      <c r="E49" s="2" t="n"/>
      <c r="F49" s="2" t="n"/>
      <c r="G49" s="2" t="n"/>
      <c r="H49" s="3" t="inlineStr"/>
    </row>
    <row r="50">
      <c r="A50" s="14" t="inlineStr">
        <is>
          <t>Palliative wing fee</t>
        </is>
      </c>
      <c r="B50" s="15" t="n">
        <v>2400000</v>
      </c>
      <c r="C50" s="3" t="inlineStr">
        <is>
          <t>₦/month</t>
        </is>
      </c>
      <c r="D50" s="2" t="n"/>
      <c r="E50" s="2" t="n"/>
      <c r="F50" s="2" t="n"/>
      <c r="G50" s="2" t="n"/>
      <c r="H50" s="3" t="inlineStr"/>
    </row>
    <row r="51">
      <c r="A51" s="14" t="inlineStr">
        <is>
          <t>Staffing, loaded</t>
        </is>
      </c>
      <c r="B51" s="15" t="n">
        <v>13000000</v>
      </c>
      <c r="C51" s="3" t="inlineStr">
        <is>
          <t>₦/month</t>
        </is>
      </c>
      <c r="D51" s="2" t="n"/>
      <c r="E51" s="2" t="n"/>
      <c r="F51" s="2" t="n"/>
      <c r="G51" s="2" t="n"/>
      <c r="H51" s="3" t="inlineStr">
        <is>
          <t>Nurses on every shift, care assistants, manager, therapy; includes on-costs</t>
        </is>
      </c>
    </row>
    <row r="52">
      <c r="A52" s="14" t="inlineStr">
        <is>
          <t>Pre-opening staffing</t>
        </is>
      </c>
      <c r="B52" s="21" t="n">
        <v>0.6</v>
      </c>
      <c r="C52" s="3" t="inlineStr">
        <is>
          <t>of staffing</t>
        </is>
      </c>
      <c r="D52" s="2" t="n"/>
      <c r="E52" s="2" t="n"/>
      <c r="F52" s="2" t="n"/>
      <c r="G52" s="2" t="n"/>
      <c r="H52" s="3" t="inlineStr">
        <is>
          <t>Charged in each of the two months before opening</t>
        </is>
      </c>
    </row>
    <row r="53">
      <c r="A53" s="14" t="inlineStr">
        <is>
          <t>Food, consumables, laundry per occupied bed</t>
        </is>
      </c>
      <c r="B53" s="15" t="n">
        <v>220000</v>
      </c>
      <c r="C53" s="3" t="inlineStr">
        <is>
          <t>₦/month</t>
        </is>
      </c>
      <c r="D53" s="2" t="n"/>
      <c r="E53" s="2" t="n"/>
      <c r="F53" s="2" t="n"/>
      <c r="G53" s="2" t="n"/>
      <c r="H53" s="3" t="inlineStr"/>
    </row>
    <row r="54">
      <c r="A54" s="14" t="inlineStr">
        <is>
          <t>Power and diesel</t>
        </is>
      </c>
      <c r="B54" s="15" t="n">
        <v>2800000</v>
      </c>
      <c r="C54" s="3" t="inlineStr">
        <is>
          <t>₦/month</t>
        </is>
      </c>
      <c r="D54" s="2" t="n"/>
      <c r="E54" s="2" t="n"/>
      <c r="F54" s="2" t="n"/>
      <c r="G54" s="2" t="n"/>
      <c r="H54" s="3" t="inlineStr"/>
    </row>
    <row r="55">
      <c r="A55" s="14" t="inlineStr">
        <is>
          <t>Insurance, maintenance, licences</t>
        </is>
      </c>
      <c r="B55" s="15" t="n">
        <v>2000000</v>
      </c>
      <c r="C55" s="3" t="inlineStr">
        <is>
          <t>₦/month</t>
        </is>
      </c>
      <c r="D55" s="2" t="n"/>
      <c r="E55" s="2" t="n"/>
      <c r="F55" s="2" t="n"/>
      <c r="G55" s="2" t="n"/>
      <c r="H55" s="3" t="inlineStr"/>
    </row>
    <row r="56">
      <c r="A56" s="14" t="inlineStr">
        <is>
          <t>Building lease</t>
        </is>
      </c>
      <c r="B56" s="15" t="n">
        <v>100000000</v>
      </c>
      <c r="C56" s="3" t="inlineStr">
        <is>
          <t>₦/year</t>
        </is>
      </c>
      <c r="D56" s="2" t="n"/>
      <c r="E56" s="2" t="n"/>
      <c r="F56" s="2" t="n"/>
      <c r="G56" s="2" t="n"/>
      <c r="H56" s="3" t="inlineStr">
        <is>
          <t>Unconverted building in Lekki; paid a year ahead from signing; estimate</t>
        </is>
      </c>
    </row>
    <row r="57">
      <c r="A57" s="14" t="inlineStr">
        <is>
          <t>Lease signed before opening</t>
        </is>
      </c>
      <c r="B57" s="19" t="n">
        <v>6</v>
      </c>
      <c r="C57" s="3" t="inlineStr">
        <is>
          <t>months</t>
        </is>
      </c>
      <c r="D57" s="2" t="n"/>
      <c r="E57" s="2" t="n"/>
      <c r="F57" s="2" t="n"/>
      <c r="G57" s="2" t="n"/>
      <c r="H57" s="3" t="inlineStr">
        <is>
          <t>Building works run in these months</t>
        </is>
      </c>
    </row>
    <row r="58">
      <c r="A58" s="14" t="inlineStr">
        <is>
          <t>Building works</t>
        </is>
      </c>
      <c r="B58" s="15" t="n">
        <v>200000000</v>
      </c>
      <c r="C58" s="3" t="inlineStr">
        <is>
          <t>₦</t>
        </is>
      </c>
      <c r="D58" s="2" t="n"/>
      <c r="E58" s="2" t="n"/>
      <c r="F58" s="2" t="n"/>
      <c r="G58" s="2" t="n"/>
      <c r="H58" s="3" t="inlineStr">
        <is>
          <t>Conversion to a licensable care home; spread over the lease lead</t>
        </is>
      </c>
    </row>
    <row r="59">
      <c r="A59" s="14" t="inlineStr">
        <is>
          <t>Equipment, furnishing, nurse call, power, pre-opening</t>
        </is>
      </c>
      <c r="B59" s="15" t="n">
        <v>130000000</v>
      </c>
      <c r="C59" s="3" t="inlineStr">
        <is>
          <t>₦</t>
        </is>
      </c>
      <c r="D59" s="2" t="n"/>
      <c r="E59" s="2" t="n"/>
      <c r="F59" s="2" t="n"/>
      <c r="G59" s="2" t="n"/>
      <c r="H59" s="3" t="inlineStr"/>
    </row>
    <row r="60">
      <c r="A60" s="14" t="inlineStr">
        <is>
          <t>Equipment spend spread over</t>
        </is>
      </c>
      <c r="B60" s="19" t="n">
        <v>5</v>
      </c>
      <c r="C60" s="3" t="inlineStr">
        <is>
          <t>months before opening</t>
        </is>
      </c>
      <c r="D60" s="2" t="n"/>
      <c r="E60" s="2" t="n"/>
      <c r="F60" s="2" t="n"/>
      <c r="G60" s="2" t="n"/>
      <c r="H60" s="3" t="inlineStr"/>
    </row>
    <row r="61">
      <c r="A61" s="14" t="inlineStr">
        <is>
          <t>Deposit per reserved place</t>
        </is>
      </c>
      <c r="B61" s="15" t="n">
        <v>1600000</v>
      </c>
      <c r="C61" s="3" t="inlineStr">
        <is>
          <t>₦</t>
        </is>
      </c>
      <c r="D61" s="2" t="n"/>
      <c r="E61" s="2" t="n"/>
      <c r="F61" s="2" t="n"/>
      <c r="G61" s="2" t="n"/>
      <c r="H61" s="3" t="inlineStr">
        <is>
          <t>One month's fee, held not earned</t>
        </is>
      </c>
    </row>
    <row r="62">
      <c r="A62" s="14" t="inlineStr">
        <is>
          <t>Places reserved by deposit at opening</t>
        </is>
      </c>
      <c r="B62" s="19" t="n">
        <v>7</v>
      </c>
      <c r="C62" s="3" t="inlineStr">
        <is>
          <t>places</t>
        </is>
      </c>
      <c r="D62" s="2" t="n"/>
      <c r="E62" s="2" t="n"/>
      <c r="F62" s="2" t="n"/>
      <c r="G62" s="2" t="n"/>
      <c r="H62" s="3" t="inlineStr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12" t="inlineStr">
        <is>
          <t>3. Mortuary and pathology</t>
        </is>
      </c>
      <c r="B64" s="13" t="n"/>
      <c r="C64" s="13" t="n"/>
      <c r="D64" s="13" t="n"/>
      <c r="E64" s="13" t="n"/>
      <c r="F64" s="13" t="n"/>
      <c r="G64" s="13" t="n"/>
      <c r="H64" s="13" t="n"/>
    </row>
    <row r="65">
      <c r="A65" s="14" t="inlineStr">
        <is>
          <t>Mortuary opens</t>
        </is>
      </c>
      <c r="B65" s="19" t="n">
        <v>10</v>
      </c>
      <c r="C65" s="3" t="inlineStr">
        <is>
          <t>month</t>
        </is>
      </c>
      <c r="D65" s="2" t="n"/>
      <c r="E65" s="2" t="n"/>
      <c r="F65" s="2" t="n"/>
      <c r="G65" s="2" t="n"/>
      <c r="H65" s="3" t="inlineStr">
        <is>
          <t>Month 10 = August 2027; Lekki corridor</t>
        </is>
      </c>
    </row>
    <row r="66">
      <c r="A66" s="14" t="inlineStr">
        <is>
          <t>Places at opening</t>
        </is>
      </c>
      <c r="B66" s="19" t="n">
        <v>40</v>
      </c>
      <c r="C66" s="3" t="inlineStr">
        <is>
          <t>places</t>
        </is>
      </c>
      <c r="D66" s="2" t="n"/>
      <c r="E66" s="2" t="n"/>
      <c r="F66" s="2" t="n"/>
      <c r="G66" s="2" t="n"/>
      <c r="H66" s="3" t="inlineStr"/>
    </row>
    <row r="67">
      <c r="A67" s="14" t="inlineStr">
        <is>
          <t>Expansion month</t>
        </is>
      </c>
      <c r="B67" s="19" t="n">
        <v>34</v>
      </c>
      <c r="C67" s="3" t="inlineStr">
        <is>
          <t>month</t>
        </is>
      </c>
      <c r="D67" s="2" t="n"/>
      <c r="E67" s="2" t="n"/>
      <c r="F67" s="2" t="n"/>
      <c r="G67" s="2" t="n"/>
      <c r="H67" s="3" t="inlineStr">
        <is>
          <t>Month 34 = August 2029</t>
        </is>
      </c>
    </row>
    <row r="68">
      <c r="A68" s="14" t="inlineStr">
        <is>
          <t>Places after expansion</t>
        </is>
      </c>
      <c r="B68" s="19" t="n">
        <v>80</v>
      </c>
      <c r="C68" s="3" t="inlineStr">
        <is>
          <t>places</t>
        </is>
      </c>
      <c r="D68" s="2" t="n"/>
      <c r="E68" s="2" t="n"/>
      <c r="F68" s="2" t="n"/>
      <c r="G68" s="2" t="n"/>
      <c r="H68" s="3" t="inlineStr"/>
    </row>
    <row r="69">
      <c r="A69" s="14" t="inlineStr">
        <is>
          <t>Occupancy ceiling</t>
        </is>
      </c>
      <c r="B69" s="21" t="n">
        <v>0.8</v>
      </c>
      <c r="C69" s="3" t="inlineStr">
        <is>
          <t>of places</t>
        </is>
      </c>
      <c r="D69" s="2" t="n"/>
      <c r="E69" s="2" t="n"/>
      <c r="F69" s="2" t="n"/>
      <c r="G69" s="2" t="n"/>
      <c r="H69" s="3" t="inlineStr"/>
    </row>
    <row r="70">
      <c r="A70" s="14" t="inlineStr">
        <is>
          <t>Bodies held at opening</t>
        </is>
      </c>
      <c r="B70" s="16" t="n">
        <v>8</v>
      </c>
      <c r="C70" s="3" t="inlineStr">
        <is>
          <t>bodies</t>
        </is>
      </c>
      <c r="D70" s="2" t="n"/>
      <c r="E70" s="2" t="n"/>
      <c r="F70" s="2" t="n"/>
      <c r="G70" s="2" t="n"/>
      <c r="H70" s="3" t="inlineStr"/>
    </row>
    <row r="71">
      <c r="A71" s="14" t="inlineStr">
        <is>
          <t>Bodies held added a month</t>
        </is>
      </c>
      <c r="B71" s="16" t="n">
        <v>1.6</v>
      </c>
      <c r="C71" s="3" t="inlineStr">
        <is>
          <t>bodies</t>
        </is>
      </c>
      <c r="D71" s="2" t="n"/>
      <c r="E71" s="2" t="n"/>
      <c r="F71" s="2" t="n"/>
      <c r="G71" s="2" t="n"/>
      <c r="H71" s="3" t="inlineStr"/>
    </row>
    <row r="72">
      <c r="A72" s="14" t="inlineStr">
        <is>
          <t>Average stay</t>
        </is>
      </c>
      <c r="B72" s="19" t="n">
        <v>35</v>
      </c>
      <c r="C72" s="3" t="inlineStr">
        <is>
          <t>days</t>
        </is>
      </c>
      <c r="D72" s="2" t="n"/>
      <c r="E72" s="2" t="n"/>
      <c r="F72" s="2" t="n"/>
      <c r="G72" s="2" t="n"/>
      <c r="H72" s="3" t="inlineStr">
        <is>
          <t>Lagos families hold four to eight weeks</t>
        </is>
      </c>
    </row>
    <row r="73">
      <c r="A73" s="14" t="inlineStr">
        <is>
          <t>Preservation day rate</t>
        </is>
      </c>
      <c r="B73" s="15" t="n">
        <v>18000</v>
      </c>
      <c r="C73" s="3" t="inlineStr">
        <is>
          <t>₦/day</t>
        </is>
      </c>
      <c r="D73" s="2" t="n"/>
      <c r="E73" s="2" t="n"/>
      <c r="F73" s="2" t="n"/>
      <c r="G73" s="2" t="n"/>
      <c r="H73" s="3" t="inlineStr">
        <is>
          <t>Private homes charge ₦15,000 to ₦50,000 a day</t>
        </is>
      </c>
    </row>
    <row r="74">
      <c r="A74" s="14" t="inlineStr">
        <is>
          <t>Preparation fee per family</t>
        </is>
      </c>
      <c r="B74" s="15" t="n">
        <v>280000</v>
      </c>
      <c r="C74" s="3" t="inlineStr">
        <is>
          <t>₦</t>
        </is>
      </c>
      <c r="D74" s="2" t="n"/>
      <c r="E74" s="2" t="n"/>
      <c r="F74" s="2" t="n"/>
      <c r="G74" s="2" t="n"/>
      <c r="H74" s="3" t="inlineStr">
        <is>
          <t>Embalming, dressing, documentation, local transport</t>
        </is>
      </c>
    </row>
    <row r="75">
      <c r="A75" s="14" t="inlineStr">
        <is>
          <t>Consumables per family</t>
        </is>
      </c>
      <c r="B75" s="15" t="n">
        <v>45000</v>
      </c>
      <c r="C75" s="3" t="inlineStr">
        <is>
          <t>₦</t>
        </is>
      </c>
      <c r="D75" s="2" t="n"/>
      <c r="E75" s="2" t="n"/>
      <c r="F75" s="2" t="n"/>
      <c r="G75" s="2" t="n"/>
      <c r="H75" s="3" t="inlineStr"/>
    </row>
    <row r="76">
      <c r="A76" s="2" t="n"/>
      <c r="B76" s="3" t="inlineStr">
        <is>
          <t>Month 1</t>
        </is>
      </c>
      <c r="C76" s="3" t="inlineStr">
        <is>
          <t>Value 1</t>
        </is>
      </c>
      <c r="D76" s="3" t="inlineStr">
        <is>
          <t>Month 2</t>
        </is>
      </c>
      <c r="E76" s="3" t="inlineStr">
        <is>
          <t>Value 2</t>
        </is>
      </c>
      <c r="F76" s="3" t="inlineStr">
        <is>
          <t>Month 3</t>
        </is>
      </c>
      <c r="G76" s="3" t="inlineStr">
        <is>
          <t>Value 3</t>
        </is>
      </c>
      <c r="H76" s="2" t="n"/>
    </row>
    <row r="77">
      <c r="A77" s="14" t="inlineStr">
        <is>
          <t>Remains received from abroad a month (ramp)</t>
        </is>
      </c>
      <c r="B77" s="19" t="n">
        <v>16</v>
      </c>
      <c r="C77" s="20" t="n">
        <v>1</v>
      </c>
      <c r="D77" s="19" t="n">
        <v>40</v>
      </c>
      <c r="E77" s="20" t="n">
        <v>4</v>
      </c>
      <c r="F77" s="19" t="n">
        <v>60</v>
      </c>
      <c r="G77" s="20" t="n">
        <v>4</v>
      </c>
      <c r="H77" s="3" t="inlineStr"/>
    </row>
    <row r="78">
      <c r="A78" s="14" t="inlineStr">
        <is>
          <t>Repatriation fee</t>
        </is>
      </c>
      <c r="B78" s="15" t="n">
        <v>1200000</v>
      </c>
      <c r="C78" s="3" t="inlineStr">
        <is>
          <t>₦</t>
        </is>
      </c>
      <c r="D78" s="2" t="n"/>
      <c r="E78" s="2" t="n"/>
      <c r="F78" s="2" t="n"/>
      <c r="G78" s="2" t="n"/>
      <c r="H78" s="3" t="inlineStr"/>
    </row>
    <row r="79">
      <c r="A79" s="14" t="inlineStr">
        <is>
          <t>Repatriation direct cost</t>
        </is>
      </c>
      <c r="B79" s="21" t="n">
        <v>0.6</v>
      </c>
      <c r="C79" s="3" t="inlineStr">
        <is>
          <t>of revenue</t>
        </is>
      </c>
      <c r="D79" s="2" t="n"/>
      <c r="E79" s="2" t="n"/>
      <c r="F79" s="2" t="n"/>
      <c r="G79" s="2" t="n"/>
      <c r="H79" s="3" t="inlineStr"/>
    </row>
    <row r="80">
      <c r="A80" s="14" t="inlineStr">
        <is>
          <t>Autopsies a month (ramp)</t>
        </is>
      </c>
      <c r="B80" s="19" t="n">
        <v>10</v>
      </c>
      <c r="C80" s="20" t="n">
        <v>2</v>
      </c>
      <c r="D80" s="19" t="n">
        <v>34</v>
      </c>
      <c r="E80" s="20" t="n">
        <v>8</v>
      </c>
      <c r="F80" s="19" t="n">
        <v>60</v>
      </c>
      <c r="G80" s="20" t="n">
        <v>12</v>
      </c>
      <c r="H80" s="3" t="inlineStr"/>
    </row>
    <row r="81">
      <c r="A81" s="14" t="inlineStr">
        <is>
          <t>Autopsy fee</t>
        </is>
      </c>
      <c r="B81" s="15" t="n">
        <v>400000</v>
      </c>
      <c r="C81" s="3" t="inlineStr">
        <is>
          <t>₦</t>
        </is>
      </c>
      <c r="D81" s="2" t="n"/>
      <c r="E81" s="2" t="n"/>
      <c r="F81" s="2" t="n"/>
      <c r="G81" s="2" t="n"/>
      <c r="H81" s="3" t="inlineStr">
        <is>
          <t>Estimate; no published Lagos price found</t>
        </is>
      </c>
    </row>
    <row r="82">
      <c r="A82" s="14" t="inlineStr">
        <is>
          <t>Autopsy direct cost</t>
        </is>
      </c>
      <c r="B82" s="21" t="n">
        <v>0.45</v>
      </c>
      <c r="C82" s="3" t="inlineStr">
        <is>
          <t>of revenue</t>
        </is>
      </c>
      <c r="D82" s="2" t="n"/>
      <c r="E82" s="2" t="n"/>
      <c r="F82" s="2" t="n"/>
      <c r="G82" s="2" t="n"/>
      <c r="H82" s="3" t="inlineStr">
        <is>
          <t>Sessional pathologist, histology, toxicology</t>
        </is>
      </c>
    </row>
    <row r="83">
      <c r="A83" s="2" t="n"/>
      <c r="B83" s="3" t="inlineStr">
        <is>
          <t>Month 1</t>
        </is>
      </c>
      <c r="C83" s="3" t="inlineStr">
        <is>
          <t>Value 1</t>
        </is>
      </c>
      <c r="D83" s="3" t="inlineStr">
        <is>
          <t>Month 2</t>
        </is>
      </c>
      <c r="E83" s="3" t="inlineStr">
        <is>
          <t>Value 2</t>
        </is>
      </c>
      <c r="F83" s="3" t="inlineStr">
        <is>
          <t>Month 3</t>
        </is>
      </c>
      <c r="G83" s="3" t="inlineStr">
        <is>
          <t>Value 3</t>
        </is>
      </c>
      <c r="H83" s="2" t="n"/>
    </row>
    <row r="84">
      <c r="A84" s="14" t="inlineStr">
        <is>
          <t>Mortuary staffing (step)</t>
        </is>
      </c>
      <c r="B84" s="19" t="n">
        <v>10</v>
      </c>
      <c r="C84" s="15" t="n">
        <v>7000000</v>
      </c>
      <c r="D84" s="19" t="n">
        <v>34</v>
      </c>
      <c r="E84" s="15" t="n">
        <v>11500000</v>
      </c>
      <c r="F84" s="2" t="n"/>
      <c r="G84" s="2" t="n"/>
      <c r="H84" s="3" t="inlineStr">
        <is>
          <t>₦/month from each month</t>
        </is>
      </c>
    </row>
    <row r="85">
      <c r="A85" s="14" t="inlineStr">
        <is>
          <t>Mortuary power (step)</t>
        </is>
      </c>
      <c r="B85" s="19" t="n">
        <v>10</v>
      </c>
      <c r="C85" s="15" t="n">
        <v>3200000</v>
      </c>
      <c r="D85" s="19" t="n">
        <v>34</v>
      </c>
      <c r="E85" s="15" t="n">
        <v>5000000</v>
      </c>
      <c r="F85" s="2" t="n"/>
      <c r="G85" s="2" t="n"/>
      <c r="H85" s="3" t="inlineStr">
        <is>
          <t>₦/month; cold storage runs 24 hours</t>
        </is>
      </c>
    </row>
    <row r="86">
      <c r="A86" s="14" t="inlineStr">
        <is>
          <t>Mortuary other running costs</t>
        </is>
      </c>
      <c r="B86" s="15" t="n">
        <v>2000000</v>
      </c>
      <c r="C86" s="3" t="inlineStr">
        <is>
          <t>₦/month</t>
        </is>
      </c>
      <c r="D86" s="2" t="n"/>
      <c r="E86" s="2" t="n"/>
      <c r="F86" s="2" t="n"/>
      <c r="G86" s="2" t="n"/>
      <c r="H86" s="3" t="inlineStr"/>
    </row>
    <row r="87">
      <c r="A87" s="14" t="inlineStr">
        <is>
          <t>Mortuary site lease</t>
        </is>
      </c>
      <c r="B87" s="15" t="n">
        <v>40000000</v>
      </c>
      <c r="C87" s="3" t="inlineStr">
        <is>
          <t>₦/year</t>
        </is>
      </c>
      <c r="D87" s="2" t="n"/>
      <c r="E87" s="2" t="n"/>
      <c r="F87" s="2" t="n"/>
      <c r="G87" s="2" t="n"/>
      <c r="H87" s="3" t="inlineStr">
        <is>
          <t>Paid a year ahead; estimate</t>
        </is>
      </c>
    </row>
    <row r="88">
      <c r="A88" s="14" t="inlineStr">
        <is>
          <t>Lease signed</t>
        </is>
      </c>
      <c r="B88" s="19" t="n">
        <v>7</v>
      </c>
      <c r="C88" s="3" t="inlineStr">
        <is>
          <t>month</t>
        </is>
      </c>
      <c r="D88" s="2" t="n"/>
      <c r="E88" s="2" t="n"/>
      <c r="F88" s="2" t="n"/>
      <c r="G88" s="2" t="n"/>
      <c r="H88" s="3" t="inlineStr"/>
    </row>
    <row r="89">
      <c r="A89" s="14" t="inlineStr">
        <is>
          <t>Build starts</t>
        </is>
      </c>
      <c r="B89" s="19" t="n">
        <v>7</v>
      </c>
      <c r="C89" s="3" t="inlineStr">
        <is>
          <t>month</t>
        </is>
      </c>
      <c r="D89" s="2" t="n"/>
      <c r="E89" s="2" t="n"/>
      <c r="F89" s="2" t="n"/>
      <c r="G89" s="2" t="n"/>
      <c r="H89" s="3" t="inlineStr"/>
    </row>
    <row r="90">
      <c r="A90" s="14" t="inlineStr">
        <is>
          <t>Build: building, cold storage, vehicles</t>
        </is>
      </c>
      <c r="B90" s="15" t="n">
        <v>210000000</v>
      </c>
      <c r="C90" s="3" t="inlineStr">
        <is>
          <t>₦</t>
        </is>
      </c>
      <c r="D90" s="2" t="n"/>
      <c r="E90" s="2" t="n"/>
      <c r="F90" s="2" t="n"/>
      <c r="G90" s="2" t="n"/>
      <c r="H90" s="3" t="inlineStr"/>
    </row>
    <row r="91">
      <c r="A91" s="14" t="inlineStr">
        <is>
          <t>Build spread over</t>
        </is>
      </c>
      <c r="B91" s="19" t="n">
        <v>3</v>
      </c>
      <c r="C91" s="3" t="inlineStr">
        <is>
          <t>months</t>
        </is>
      </c>
      <c r="D91" s="2" t="n"/>
      <c r="E91" s="2" t="n"/>
      <c r="F91" s="2" t="n"/>
      <c r="G91" s="2" t="n"/>
      <c r="H91" s="3" t="inlineStr"/>
    </row>
    <row r="92">
      <c r="A92" s="14" t="inlineStr">
        <is>
          <t>Expansion build starts</t>
        </is>
      </c>
      <c r="B92" s="19" t="n">
        <v>31</v>
      </c>
      <c r="C92" s="3" t="inlineStr">
        <is>
          <t>month</t>
        </is>
      </c>
      <c r="D92" s="2" t="n"/>
      <c r="E92" s="2" t="n"/>
      <c r="F92" s="2" t="n"/>
      <c r="G92" s="2" t="n"/>
      <c r="H92" s="3" t="inlineStr"/>
    </row>
    <row r="93">
      <c r="A93" s="14" t="inlineStr">
        <is>
          <t>Expansion build</t>
        </is>
      </c>
      <c r="B93" s="15" t="n">
        <v>90000000</v>
      </c>
      <c r="C93" s="3" t="inlineStr">
        <is>
          <t>₦</t>
        </is>
      </c>
      <c r="D93" s="2" t="n"/>
      <c r="E93" s="2" t="n"/>
      <c r="F93" s="2" t="n"/>
      <c r="G93" s="2" t="n"/>
      <c r="H93" s="3" t="inlineStr"/>
    </row>
    <row r="94">
      <c r="A94" s="14" t="inlineStr">
        <is>
          <t>Expansion spread over</t>
        </is>
      </c>
      <c r="B94" s="19" t="n">
        <v>3</v>
      </c>
      <c r="C94" s="3" t="inlineStr">
        <is>
          <t>months</t>
        </is>
      </c>
      <c r="D94" s="2" t="n"/>
      <c r="E94" s="2" t="n"/>
      <c r="F94" s="2" t="n"/>
      <c r="G94" s="2" t="n"/>
      <c r="H94" s="3" t="inlineStr"/>
    </row>
    <row r="95">
      <c r="A95" s="14" t="inlineStr">
        <is>
          <t>Autopsy suite, month</t>
        </is>
      </c>
      <c r="B95" s="19" t="n">
        <v>9</v>
      </c>
      <c r="C95" s="3" t="inlineStr">
        <is>
          <t>month</t>
        </is>
      </c>
      <c r="D95" s="2" t="n"/>
      <c r="E95" s="2" t="n"/>
      <c r="F95" s="2" t="n"/>
      <c r="G95" s="2" t="n"/>
      <c r="H95" s="3" t="inlineStr"/>
    </row>
    <row r="96">
      <c r="A96" s="14" t="inlineStr">
        <is>
          <t>Autopsy suite</t>
        </is>
      </c>
      <c r="B96" s="15" t="n">
        <v>25000000</v>
      </c>
      <c r="C96" s="3" t="inlineStr">
        <is>
          <t>₦</t>
        </is>
      </c>
      <c r="D96" s="2" t="n"/>
      <c r="E96" s="2" t="n"/>
      <c r="F96" s="2" t="n"/>
      <c r="G96" s="2" t="n"/>
      <c r="H96" s="3" t="inlineStr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12" t="inlineStr">
        <is>
          <t>4. Software</t>
        </is>
      </c>
      <c r="B98" s="13" t="n"/>
      <c r="C98" s="13" t="n"/>
      <c r="D98" s="13" t="n"/>
      <c r="E98" s="13" t="n"/>
      <c r="F98" s="13" t="n"/>
      <c r="G98" s="13" t="n"/>
      <c r="H98" s="13" t="n"/>
    </row>
    <row r="99">
      <c r="A99" s="2" t="n"/>
      <c r="B99" s="3" t="inlineStr">
        <is>
          <t>Month 1</t>
        </is>
      </c>
      <c r="C99" s="3" t="inlineStr">
        <is>
          <t>Value 1</t>
        </is>
      </c>
      <c r="D99" s="3" t="inlineStr">
        <is>
          <t>Month 2</t>
        </is>
      </c>
      <c r="E99" s="3" t="inlineStr">
        <is>
          <t>Value 2</t>
        </is>
      </c>
      <c r="F99" s="3" t="inlineStr">
        <is>
          <t>Month 3</t>
        </is>
      </c>
      <c r="G99" s="3" t="inlineStr">
        <is>
          <t>Value 3</t>
        </is>
      </c>
      <c r="H99" s="2" t="n"/>
    </row>
    <row r="100">
      <c r="A100" s="14" t="inlineStr">
        <is>
          <t>Organisations licensing the platform (ramp)</t>
        </is>
      </c>
      <c r="B100" s="19" t="n">
        <v>13</v>
      </c>
      <c r="C100" s="20" t="n">
        <v>2</v>
      </c>
      <c r="D100" s="19" t="n">
        <v>36</v>
      </c>
      <c r="E100" s="20" t="n">
        <v>15</v>
      </c>
      <c r="F100" s="19" t="n">
        <v>60</v>
      </c>
      <c r="G100" s="20" t="n">
        <v>40</v>
      </c>
      <c r="H100" s="3" t="inlineStr">
        <is>
          <t>Agencies, care homes and hospices</t>
        </is>
      </c>
    </row>
    <row r="101">
      <c r="A101" s="14" t="inlineStr">
        <is>
          <t>Licence fee</t>
        </is>
      </c>
      <c r="B101" s="15" t="n">
        <v>250000</v>
      </c>
      <c r="C101" s="3" t="inlineStr">
        <is>
          <t>₦/month per organisation</t>
        </is>
      </c>
      <c r="D101" s="2" t="n"/>
      <c r="E101" s="2" t="n"/>
      <c r="F101" s="2" t="n"/>
      <c r="G101" s="2" t="n"/>
      <c r="H101" s="3" t="inlineStr"/>
    </row>
    <row r="102">
      <c r="A102" s="14" t="inlineStr">
        <is>
          <t>Hosting, onboarding and support</t>
        </is>
      </c>
      <c r="B102" s="21" t="n">
        <v>0.3</v>
      </c>
      <c r="C102" s="3" t="inlineStr">
        <is>
          <t>of revenue</t>
        </is>
      </c>
      <c r="D102" s="2" t="n"/>
      <c r="E102" s="2" t="n"/>
      <c r="F102" s="2" t="n"/>
      <c r="G102" s="2" t="n"/>
      <c r="H102" s="3" t="inlineStr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12" t="inlineStr">
        <is>
          <t>5. Central overhead</t>
        </is>
      </c>
      <c r="B104" s="13" t="n"/>
      <c r="C104" s="13" t="n"/>
      <c r="D104" s="13" t="n"/>
      <c r="E104" s="13" t="n"/>
      <c r="F104" s="13" t="n"/>
      <c r="G104" s="13" t="n"/>
      <c r="H104" s="13" t="n"/>
    </row>
    <row r="105">
      <c r="A105" s="2" t="n"/>
      <c r="B105" s="3" t="inlineStr">
        <is>
          <t>Month 1</t>
        </is>
      </c>
      <c r="C105" s="3" t="inlineStr">
        <is>
          <t>Value 1</t>
        </is>
      </c>
      <c r="D105" s="3" t="inlineStr">
        <is>
          <t>Month 2</t>
        </is>
      </c>
      <c r="E105" s="3" t="inlineStr">
        <is>
          <t>Value 2</t>
        </is>
      </c>
      <c r="F105" s="3" t="inlineStr">
        <is>
          <t>Month 3</t>
        </is>
      </c>
      <c r="G105" s="3" t="inlineStr">
        <is>
          <t>Value 3</t>
        </is>
      </c>
      <c r="H105" s="2" t="n"/>
    </row>
    <row r="106">
      <c r="A106" s="14" t="inlineStr">
        <is>
          <t>Central team (step)</t>
        </is>
      </c>
      <c r="B106" s="19" t="n">
        <v>1</v>
      </c>
      <c r="C106" s="15" t="n">
        <v>5000000</v>
      </c>
      <c r="D106" s="19" t="n">
        <v>15</v>
      </c>
      <c r="E106" s="15" t="n">
        <v>9000000</v>
      </c>
      <c r="F106" s="19" t="n">
        <v>40</v>
      </c>
      <c r="G106" s="15" t="n">
        <v>12000000</v>
      </c>
      <c r="H106" s="3" t="inlineStr">
        <is>
          <t>₦/month from each month</t>
        </is>
      </c>
    </row>
    <row r="107">
      <c r="A107" s="14" t="inlineStr">
        <is>
          <t>Marketing (step)</t>
        </is>
      </c>
      <c r="B107" s="19" t="n">
        <v>1</v>
      </c>
      <c r="C107" s="15" t="n">
        <v>1500000</v>
      </c>
      <c r="D107" s="19" t="n">
        <v>12</v>
      </c>
      <c r="E107" s="15" t="n">
        <v>2500000</v>
      </c>
      <c r="F107" s="2" t="n"/>
      <c r="G107" s="2" t="n"/>
      <c r="H107" s="3" t="inlineStr">
        <is>
          <t>₦/month from each month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12" t="inlineStr">
        <is>
          <t>6. The round and exit</t>
        </is>
      </c>
      <c r="B109" s="13" t="n"/>
      <c r="C109" s="13" t="n"/>
      <c r="D109" s="13" t="n"/>
      <c r="E109" s="13" t="n"/>
      <c r="F109" s="13" t="n"/>
      <c r="G109" s="13" t="n"/>
      <c r="H109" s="13" t="n"/>
    </row>
    <row r="110">
      <c r="A110" s="14" t="inlineStr">
        <is>
          <t>Raise</t>
        </is>
      </c>
      <c r="B110" s="23" t="n">
        <v>500000</v>
      </c>
      <c r="C110" s="3" t="inlineStr">
        <is>
          <t>$</t>
        </is>
      </c>
      <c r="D110" s="2" t="n"/>
      <c r="E110" s="2" t="n"/>
      <c r="F110" s="2" t="n"/>
      <c r="G110" s="2" t="n"/>
      <c r="H110" s="3" t="inlineStr">
        <is>
          <t>Pre-seed</t>
        </is>
      </c>
    </row>
    <row r="111">
      <c r="A111" s="14" t="inlineStr">
        <is>
          <t>Stake offered</t>
        </is>
      </c>
      <c r="B111" s="17" t="n">
        <v>0.3</v>
      </c>
      <c r="C111" s="3" t="inlineStr"/>
      <c r="D111" s="2" t="n"/>
      <c r="E111" s="2" t="n"/>
      <c r="F111" s="2" t="n"/>
      <c r="G111" s="2" t="n"/>
      <c r="H111" s="3" t="inlineStr"/>
    </row>
    <row r="112">
      <c r="A112" s="14" t="inlineStr">
        <is>
          <t>Raise in naira</t>
        </is>
      </c>
      <c r="B112" s="24">
        <f>RAISE_USD*FX</f>
        <v/>
      </c>
      <c r="C112" s="2" t="n"/>
      <c r="D112" s="2" t="n"/>
      <c r="E112" s="2" t="n"/>
      <c r="F112" s="2" t="n"/>
      <c r="G112" s="2" t="n"/>
      <c r="H112" s="3" t="inlineStr"/>
    </row>
    <row r="113">
      <c r="A113" s="14" t="inlineStr">
        <is>
          <t>Post-money</t>
        </is>
      </c>
      <c r="B113" s="25">
        <f>RAISE_USD/STAKE</f>
        <v/>
      </c>
      <c r="C113" s="2" t="n"/>
      <c r="D113" s="2" t="n"/>
      <c r="E113" s="2" t="n"/>
      <c r="F113" s="2" t="n"/>
      <c r="G113" s="2" t="n"/>
      <c r="H113" s="3" t="inlineStr"/>
    </row>
    <row r="114">
      <c r="A114" s="14" t="inlineStr">
        <is>
          <t>Pre-money</t>
        </is>
      </c>
      <c r="B114" s="25">
        <f>POST_USD-RAISE_USD</f>
        <v/>
      </c>
      <c r="C114" s="2" t="n"/>
      <c r="D114" s="2" t="n"/>
      <c r="E114" s="2" t="n"/>
      <c r="F114" s="2" t="n"/>
      <c r="G114" s="2" t="n"/>
      <c r="H114" s="3" t="inlineStr"/>
    </row>
    <row r="115">
      <c r="A115" s="14" t="inlineStr">
        <is>
          <t>Exit multiple, low</t>
        </is>
      </c>
      <c r="B115" s="26" t="n">
        <v>6</v>
      </c>
      <c r="C115" s="3" t="inlineStr">
        <is>
          <t>x EBITDA</t>
        </is>
      </c>
      <c r="D115" s="2" t="n"/>
      <c r="E115" s="2" t="n"/>
      <c r="F115" s="2" t="n"/>
      <c r="G115" s="2" t="n"/>
      <c r="H115" s="3" t="inlineStr">
        <is>
          <t>Discount to SCI 12.1x and Amedisys ~13x</t>
        </is>
      </c>
    </row>
    <row r="116">
      <c r="A116" s="14" t="inlineStr">
        <is>
          <t>Exit multiple, mid</t>
        </is>
      </c>
      <c r="B116" s="26" t="n">
        <v>8</v>
      </c>
      <c r="C116" s="3" t="inlineStr">
        <is>
          <t>x EBITDA</t>
        </is>
      </c>
      <c r="D116" s="2" t="n"/>
      <c r="E116" s="2" t="n"/>
      <c r="F116" s="2" t="n"/>
      <c r="G116" s="2" t="n"/>
      <c r="H116" s="3" t="inlineStr"/>
    </row>
    <row r="117">
      <c r="A117" s="14" t="inlineStr">
        <is>
          <t>Exit multiple, high</t>
        </is>
      </c>
      <c r="B117" s="26" t="n">
        <v>10</v>
      </c>
      <c r="C117" s="3" t="inlineStr">
        <is>
          <t>x EBITDA</t>
        </is>
      </c>
      <c r="D117" s="2" t="n"/>
      <c r="E117" s="2" t="n"/>
      <c r="F117" s="2" t="n"/>
      <c r="G117" s="2" t="n"/>
      <c r="H117" s="3" t="inlineStr"/>
    </row>
    <row r="118">
      <c r="A118" s="14" t="inlineStr">
        <is>
          <t>Naira at exit, weak case</t>
        </is>
      </c>
      <c r="B118" s="15" t="n">
        <v>2000</v>
      </c>
      <c r="C118" s="3" t="inlineStr">
        <is>
          <t>₦/$</t>
        </is>
      </c>
      <c r="D118" s="2" t="n"/>
      <c r="E118" s="2" t="n"/>
      <c r="F118" s="2" t="n"/>
      <c r="G118" s="2" t="n"/>
      <c r="H118" s="3" t="inlineStr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12" t="inlineStr">
        <is>
          <t>7. Market sizing, Lagos</t>
        </is>
      </c>
      <c r="B120" s="13" t="n"/>
      <c r="C120" s="13" t="n"/>
      <c r="D120" s="13" t="n"/>
      <c r="E120" s="13" t="n"/>
      <c r="F120" s="13" t="n"/>
      <c r="G120" s="13" t="n"/>
      <c r="H120" s="13" t="n"/>
    </row>
    <row r="121">
      <c r="A121" s="14" t="inlineStr">
        <is>
          <t>Lagos population</t>
        </is>
      </c>
      <c r="B121" s="15" t="n">
        <v>15000000</v>
      </c>
      <c r="C121" s="3" t="inlineStr">
        <is>
          <t>people</t>
        </is>
      </c>
      <c r="D121" s="2" t="n"/>
      <c r="E121" s="2" t="n"/>
      <c r="F121" s="2" t="n"/>
      <c r="G121" s="2" t="n"/>
      <c r="H121" s="3" t="inlineStr">
        <is>
          <t>Estimates run 12.8m to 17.2m</t>
        </is>
      </c>
    </row>
    <row r="122">
      <c r="A122" s="14" t="inlineStr">
        <is>
          <t>Share aged 60 and over</t>
        </is>
      </c>
      <c r="B122" s="21" t="n">
        <v>0.05</v>
      </c>
      <c r="C122" s="3" t="inlineStr"/>
      <c r="D122" s="2" t="n"/>
      <c r="E122" s="2" t="n"/>
      <c r="F122" s="2" t="n"/>
      <c r="G122" s="2" t="n"/>
      <c r="H122" s="3" t="inlineStr">
        <is>
          <t>Nigeria is about 7%; Lagos is younger</t>
        </is>
      </c>
    </row>
    <row r="123">
      <c r="A123" s="14" t="inlineStr">
        <is>
          <t>Dependent in daily living</t>
        </is>
      </c>
      <c r="B123" s="21" t="n">
        <v>0.283</v>
      </c>
      <c r="C123" s="3" t="inlineStr"/>
      <c r="D123" s="2" t="n"/>
      <c r="E123" s="2" t="n"/>
      <c r="F123" s="2" t="n"/>
      <c r="G123" s="2" t="n"/>
      <c r="H123" s="3" t="inlineStr">
        <is>
          <t>Nigerian study of people aged 60+</t>
        </is>
      </c>
    </row>
    <row r="124">
      <c r="A124" s="14" t="inlineStr">
        <is>
          <t>Of the dependent, needing 24-hour care</t>
        </is>
      </c>
      <c r="B124" s="21" t="n">
        <v>0.1</v>
      </c>
      <c r="C124" s="3" t="inlineStr"/>
      <c r="D124" s="2" t="n"/>
      <c r="E124" s="2" t="n"/>
      <c r="F124" s="2" t="n"/>
      <c r="G124" s="2" t="n"/>
      <c r="H124" s="3" t="inlineStr"/>
    </row>
    <row r="125">
      <c r="A125" s="14" t="inlineStr">
        <is>
          <t>Crude death rate</t>
        </is>
      </c>
      <c r="B125" s="27" t="n">
        <v>0.011</v>
      </c>
      <c r="C125" s="3" t="inlineStr">
        <is>
          <t>per person a year</t>
        </is>
      </c>
      <c r="D125" s="2" t="n"/>
      <c r="E125" s="2" t="n"/>
      <c r="F125" s="2" t="n"/>
      <c r="G125" s="2" t="n"/>
      <c r="H125" s="3" t="inlineStr"/>
    </row>
    <row r="126">
      <c r="A126" s="14" t="inlineStr">
        <is>
          <t>Deaths that need palliative care</t>
        </is>
      </c>
      <c r="B126" s="21" t="n">
        <v>0.5</v>
      </c>
      <c r="C126" s="3" t="inlineStr"/>
      <c r="D126" s="2" t="n"/>
      <c r="E126" s="2" t="n"/>
      <c r="F126" s="2" t="n"/>
      <c r="G126" s="2" t="n"/>
      <c r="H126" s="3" t="inlineStr"/>
    </row>
    <row r="127">
      <c r="A127" s="14" t="inlineStr">
        <is>
          <t>Palliative months per death</t>
        </is>
      </c>
      <c r="B127" s="19" t="n">
        <v>2</v>
      </c>
      <c r="C127" s="3" t="inlineStr">
        <is>
          <t>months</t>
        </is>
      </c>
      <c r="D127" s="2" t="n"/>
      <c r="E127" s="2" t="n"/>
      <c r="F127" s="2" t="n"/>
      <c r="G127" s="2" t="n"/>
      <c r="H127" s="3" t="inlineStr"/>
    </row>
    <row r="128">
      <c r="A128" s="14" t="inlineStr">
        <is>
          <t>Deaths kept in a private funeral home</t>
        </is>
      </c>
      <c r="B128" s="21" t="n">
        <v>0.1</v>
      </c>
      <c r="C128" s="3" t="inlineStr"/>
      <c r="D128" s="2" t="n"/>
      <c r="E128" s="2" t="n"/>
      <c r="F128" s="2" t="n"/>
      <c r="G128" s="2" t="n"/>
      <c r="H128" s="3" t="inlineStr"/>
    </row>
    <row r="129">
      <c r="A129" s="14" t="inlineStr">
        <is>
          <t>Families able to pay these prices</t>
        </is>
      </c>
      <c r="B129" s="21" t="n">
        <v>0.05</v>
      </c>
      <c r="C129" s="3" t="inlineStr"/>
      <c r="D129" s="2" t="n"/>
      <c r="E129" s="2" t="n"/>
      <c r="F129" s="2" t="n"/>
      <c r="G129" s="2" t="n"/>
      <c r="H129" s="3" t="inlineStr">
        <is>
          <t>Or funded from abroad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</cols>
  <sheetData>
    <row r="1">
      <c r="A1" s="1" t="inlineStr">
        <is>
          <t>Ilé: volumes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s="3" t="inlineStr">
        <is>
          <t>Every count that drives revenue and cost. Linear ramps between the points on Assumptions.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</row>
    <row r="4">
      <c r="A4" s="4" t="inlineStr">
        <is>
          <t>Month</t>
        </is>
      </c>
      <c r="B4" s="2" t="n"/>
      <c r="C4" s="2" t="n"/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4" t="n">
        <v>37</v>
      </c>
      <c r="AO4" s="4" t="n">
        <v>38</v>
      </c>
      <c r="AP4" s="4" t="n">
        <v>39</v>
      </c>
      <c r="AQ4" s="4" t="n">
        <v>40</v>
      </c>
      <c r="AR4" s="4" t="n">
        <v>41</v>
      </c>
      <c r="AS4" s="4" t="n">
        <v>42</v>
      </c>
      <c r="AT4" s="4" t="n">
        <v>43</v>
      </c>
      <c r="AU4" s="4" t="n">
        <v>44</v>
      </c>
      <c r="AV4" s="4" t="n">
        <v>45</v>
      </c>
      <c r="AW4" s="4" t="n">
        <v>46</v>
      </c>
      <c r="AX4" s="4" t="n">
        <v>47</v>
      </c>
      <c r="AY4" s="4" t="n">
        <v>48</v>
      </c>
      <c r="AZ4" s="4" t="n">
        <v>49</v>
      </c>
      <c r="BA4" s="4" t="n">
        <v>50</v>
      </c>
      <c r="BB4" s="4" t="n">
        <v>51</v>
      </c>
      <c r="BC4" s="4" t="n">
        <v>52</v>
      </c>
      <c r="BD4" s="4" t="n">
        <v>53</v>
      </c>
      <c r="BE4" s="4" t="n">
        <v>54</v>
      </c>
      <c r="BF4" s="4" t="n">
        <v>55</v>
      </c>
      <c r="BG4" s="4" t="n">
        <v>56</v>
      </c>
      <c r="BH4" s="4" t="n">
        <v>57</v>
      </c>
      <c r="BI4" s="4" t="n">
        <v>58</v>
      </c>
      <c r="BJ4" s="4" t="n">
        <v>59</v>
      </c>
      <c r="BK4" s="4" t="n">
        <v>60</v>
      </c>
    </row>
    <row r="5">
      <c r="A5" s="4" t="inlineStr">
        <is>
          <t>Period</t>
        </is>
      </c>
      <c r="B5" s="2" t="n"/>
      <c r="C5" s="2" t="n"/>
      <c r="D5" s="28" t="inlineStr">
        <is>
          <t>Nov 2026</t>
        </is>
      </c>
      <c r="E5" s="28" t="inlineStr">
        <is>
          <t>Dec 2026</t>
        </is>
      </c>
      <c r="F5" s="28" t="inlineStr">
        <is>
          <t>Jan 2027</t>
        </is>
      </c>
      <c r="G5" s="28" t="inlineStr">
        <is>
          <t>Feb 2027</t>
        </is>
      </c>
      <c r="H5" s="28" t="inlineStr">
        <is>
          <t>Mar 2027</t>
        </is>
      </c>
      <c r="I5" s="28" t="inlineStr">
        <is>
          <t>Apr 2027</t>
        </is>
      </c>
      <c r="J5" s="28" t="inlineStr">
        <is>
          <t>May 2027</t>
        </is>
      </c>
      <c r="K5" s="28" t="inlineStr">
        <is>
          <t>Jun 2027</t>
        </is>
      </c>
      <c r="L5" s="28" t="inlineStr">
        <is>
          <t>Jul 2027</t>
        </is>
      </c>
      <c r="M5" s="28" t="inlineStr">
        <is>
          <t>Aug 2027</t>
        </is>
      </c>
      <c r="N5" s="28" t="inlineStr">
        <is>
          <t>Sep 2027</t>
        </is>
      </c>
      <c r="O5" s="28" t="inlineStr">
        <is>
          <t>Oct 2027</t>
        </is>
      </c>
      <c r="P5" s="28" t="inlineStr">
        <is>
          <t>Nov 2027</t>
        </is>
      </c>
      <c r="Q5" s="28" t="inlineStr">
        <is>
          <t>Dec 2027</t>
        </is>
      </c>
      <c r="R5" s="28" t="inlineStr">
        <is>
          <t>Jan 2028</t>
        </is>
      </c>
      <c r="S5" s="28" t="inlineStr">
        <is>
          <t>Feb 2028</t>
        </is>
      </c>
      <c r="T5" s="28" t="inlineStr">
        <is>
          <t>Mar 2028</t>
        </is>
      </c>
      <c r="U5" s="28" t="inlineStr">
        <is>
          <t>Apr 2028</t>
        </is>
      </c>
      <c r="V5" s="28" t="inlineStr">
        <is>
          <t>May 2028</t>
        </is>
      </c>
      <c r="W5" s="28" t="inlineStr">
        <is>
          <t>Jun 2028</t>
        </is>
      </c>
      <c r="X5" s="28" t="inlineStr">
        <is>
          <t>Jul 2028</t>
        </is>
      </c>
      <c r="Y5" s="28" t="inlineStr">
        <is>
          <t>Aug 2028</t>
        </is>
      </c>
      <c r="Z5" s="28" t="inlineStr">
        <is>
          <t>Sep 2028</t>
        </is>
      </c>
      <c r="AA5" s="28" t="inlineStr">
        <is>
          <t>Oct 2028</t>
        </is>
      </c>
      <c r="AB5" s="28" t="inlineStr">
        <is>
          <t>Nov 2028</t>
        </is>
      </c>
      <c r="AC5" s="28" t="inlineStr">
        <is>
          <t>Dec 2028</t>
        </is>
      </c>
      <c r="AD5" s="28" t="inlineStr">
        <is>
          <t>Jan 2029</t>
        </is>
      </c>
      <c r="AE5" s="28" t="inlineStr">
        <is>
          <t>Feb 2029</t>
        </is>
      </c>
      <c r="AF5" s="28" t="inlineStr">
        <is>
          <t>Mar 2029</t>
        </is>
      </c>
      <c r="AG5" s="28" t="inlineStr">
        <is>
          <t>Apr 2029</t>
        </is>
      </c>
      <c r="AH5" s="28" t="inlineStr">
        <is>
          <t>May 2029</t>
        </is>
      </c>
      <c r="AI5" s="28" t="inlineStr">
        <is>
          <t>Jun 2029</t>
        </is>
      </c>
      <c r="AJ5" s="28" t="inlineStr">
        <is>
          <t>Jul 2029</t>
        </is>
      </c>
      <c r="AK5" s="28" t="inlineStr">
        <is>
          <t>Aug 2029</t>
        </is>
      </c>
      <c r="AL5" s="28" t="inlineStr">
        <is>
          <t>Sep 2029</t>
        </is>
      </c>
      <c r="AM5" s="28" t="inlineStr">
        <is>
          <t>Oct 2029</t>
        </is>
      </c>
      <c r="AN5" s="28" t="inlineStr">
        <is>
          <t>Nov 2029</t>
        </is>
      </c>
      <c r="AO5" s="28" t="inlineStr">
        <is>
          <t>Dec 2029</t>
        </is>
      </c>
      <c r="AP5" s="28" t="inlineStr">
        <is>
          <t>Jan 2030</t>
        </is>
      </c>
      <c r="AQ5" s="28" t="inlineStr">
        <is>
          <t>Feb 2030</t>
        </is>
      </c>
      <c r="AR5" s="28" t="inlineStr">
        <is>
          <t>Mar 2030</t>
        </is>
      </c>
      <c r="AS5" s="28" t="inlineStr">
        <is>
          <t>Apr 2030</t>
        </is>
      </c>
      <c r="AT5" s="28" t="inlineStr">
        <is>
          <t>May 2030</t>
        </is>
      </c>
      <c r="AU5" s="28" t="inlineStr">
        <is>
          <t>Jun 2030</t>
        </is>
      </c>
      <c r="AV5" s="28" t="inlineStr">
        <is>
          <t>Jul 2030</t>
        </is>
      </c>
      <c r="AW5" s="28" t="inlineStr">
        <is>
          <t>Aug 2030</t>
        </is>
      </c>
      <c r="AX5" s="28" t="inlineStr">
        <is>
          <t>Sep 2030</t>
        </is>
      </c>
      <c r="AY5" s="28" t="inlineStr">
        <is>
          <t>Oct 2030</t>
        </is>
      </c>
      <c r="AZ5" s="28" t="inlineStr">
        <is>
          <t>Nov 2030</t>
        </is>
      </c>
      <c r="BA5" s="28" t="inlineStr">
        <is>
          <t>Dec 2030</t>
        </is>
      </c>
      <c r="BB5" s="28" t="inlineStr">
        <is>
          <t>Jan 2031</t>
        </is>
      </c>
      <c r="BC5" s="28" t="inlineStr">
        <is>
          <t>Feb 2031</t>
        </is>
      </c>
      <c r="BD5" s="28" t="inlineStr">
        <is>
          <t>Mar 2031</t>
        </is>
      </c>
      <c r="BE5" s="28" t="inlineStr">
        <is>
          <t>Apr 2031</t>
        </is>
      </c>
      <c r="BF5" s="28" t="inlineStr">
        <is>
          <t>May 2031</t>
        </is>
      </c>
      <c r="BG5" s="28" t="inlineStr">
        <is>
          <t>Jun 2031</t>
        </is>
      </c>
      <c r="BH5" s="28" t="inlineStr">
        <is>
          <t>Jul 2031</t>
        </is>
      </c>
      <c r="BI5" s="28" t="inlineStr">
        <is>
          <t>Aug 2031</t>
        </is>
      </c>
      <c r="BJ5" s="28" t="inlineStr">
        <is>
          <t>Sep 2031</t>
        </is>
      </c>
      <c r="BK5" s="28" t="inlineStr">
        <is>
          <t>Oct 2031</t>
        </is>
      </c>
    </row>
    <row r="6">
      <c r="A6" s="4" t="inlineStr">
        <is>
          <t>Model year</t>
        </is>
      </c>
      <c r="B6" s="2" t="n"/>
      <c r="C6" s="2" t="n"/>
      <c r="D6" s="14">
        <f>INT((D$4-1)/12)+1</f>
        <v/>
      </c>
      <c r="E6" s="14">
        <f>INT((E$4-1)/12)+1</f>
        <v/>
      </c>
      <c r="F6" s="14">
        <f>INT((F$4-1)/12)+1</f>
        <v/>
      </c>
      <c r="G6" s="14">
        <f>INT((G$4-1)/12)+1</f>
        <v/>
      </c>
      <c r="H6" s="14">
        <f>INT((H$4-1)/12)+1</f>
        <v/>
      </c>
      <c r="I6" s="14">
        <f>INT((I$4-1)/12)+1</f>
        <v/>
      </c>
      <c r="J6" s="14">
        <f>INT((J$4-1)/12)+1</f>
        <v/>
      </c>
      <c r="K6" s="14">
        <f>INT((K$4-1)/12)+1</f>
        <v/>
      </c>
      <c r="L6" s="14">
        <f>INT((L$4-1)/12)+1</f>
        <v/>
      </c>
      <c r="M6" s="14">
        <f>INT((M$4-1)/12)+1</f>
        <v/>
      </c>
      <c r="N6" s="14">
        <f>INT((N$4-1)/12)+1</f>
        <v/>
      </c>
      <c r="O6" s="14">
        <f>INT((O$4-1)/12)+1</f>
        <v/>
      </c>
      <c r="P6" s="14">
        <f>INT((P$4-1)/12)+1</f>
        <v/>
      </c>
      <c r="Q6" s="14">
        <f>INT((Q$4-1)/12)+1</f>
        <v/>
      </c>
      <c r="R6" s="14">
        <f>INT((R$4-1)/12)+1</f>
        <v/>
      </c>
      <c r="S6" s="14">
        <f>INT((S$4-1)/12)+1</f>
        <v/>
      </c>
      <c r="T6" s="14">
        <f>INT((T$4-1)/12)+1</f>
        <v/>
      </c>
      <c r="U6" s="14">
        <f>INT((U$4-1)/12)+1</f>
        <v/>
      </c>
      <c r="V6" s="14">
        <f>INT((V$4-1)/12)+1</f>
        <v/>
      </c>
      <c r="W6" s="14">
        <f>INT((W$4-1)/12)+1</f>
        <v/>
      </c>
      <c r="X6" s="14">
        <f>INT((X$4-1)/12)+1</f>
        <v/>
      </c>
      <c r="Y6" s="14">
        <f>INT((Y$4-1)/12)+1</f>
        <v/>
      </c>
      <c r="Z6" s="14">
        <f>INT((Z$4-1)/12)+1</f>
        <v/>
      </c>
      <c r="AA6" s="14">
        <f>INT((AA$4-1)/12)+1</f>
        <v/>
      </c>
      <c r="AB6" s="14">
        <f>INT((AB$4-1)/12)+1</f>
        <v/>
      </c>
      <c r="AC6" s="14">
        <f>INT((AC$4-1)/12)+1</f>
        <v/>
      </c>
      <c r="AD6" s="14">
        <f>INT((AD$4-1)/12)+1</f>
        <v/>
      </c>
      <c r="AE6" s="14">
        <f>INT((AE$4-1)/12)+1</f>
        <v/>
      </c>
      <c r="AF6" s="14">
        <f>INT((AF$4-1)/12)+1</f>
        <v/>
      </c>
      <c r="AG6" s="14">
        <f>INT((AG$4-1)/12)+1</f>
        <v/>
      </c>
      <c r="AH6" s="14">
        <f>INT((AH$4-1)/12)+1</f>
        <v/>
      </c>
      <c r="AI6" s="14">
        <f>INT((AI$4-1)/12)+1</f>
        <v/>
      </c>
      <c r="AJ6" s="14">
        <f>INT((AJ$4-1)/12)+1</f>
        <v/>
      </c>
      <c r="AK6" s="14">
        <f>INT((AK$4-1)/12)+1</f>
        <v/>
      </c>
      <c r="AL6" s="14">
        <f>INT((AL$4-1)/12)+1</f>
        <v/>
      </c>
      <c r="AM6" s="14">
        <f>INT((AM$4-1)/12)+1</f>
        <v/>
      </c>
      <c r="AN6" s="14">
        <f>INT((AN$4-1)/12)+1</f>
        <v/>
      </c>
      <c r="AO6" s="14">
        <f>INT((AO$4-1)/12)+1</f>
        <v/>
      </c>
      <c r="AP6" s="14">
        <f>INT((AP$4-1)/12)+1</f>
        <v/>
      </c>
      <c r="AQ6" s="14">
        <f>INT((AQ$4-1)/12)+1</f>
        <v/>
      </c>
      <c r="AR6" s="14">
        <f>INT((AR$4-1)/12)+1</f>
        <v/>
      </c>
      <c r="AS6" s="14">
        <f>INT((AS$4-1)/12)+1</f>
        <v/>
      </c>
      <c r="AT6" s="14">
        <f>INT((AT$4-1)/12)+1</f>
        <v/>
      </c>
      <c r="AU6" s="14">
        <f>INT((AU$4-1)/12)+1</f>
        <v/>
      </c>
      <c r="AV6" s="14">
        <f>INT((AV$4-1)/12)+1</f>
        <v/>
      </c>
      <c r="AW6" s="14">
        <f>INT((AW$4-1)/12)+1</f>
        <v/>
      </c>
      <c r="AX6" s="14">
        <f>INT((AX$4-1)/12)+1</f>
        <v/>
      </c>
      <c r="AY6" s="14">
        <f>INT((AY$4-1)/12)+1</f>
        <v/>
      </c>
      <c r="AZ6" s="14">
        <f>INT((AZ$4-1)/12)+1</f>
        <v/>
      </c>
      <c r="BA6" s="14">
        <f>INT((BA$4-1)/12)+1</f>
        <v/>
      </c>
      <c r="BB6" s="14">
        <f>INT((BB$4-1)/12)+1</f>
        <v/>
      </c>
      <c r="BC6" s="14">
        <f>INT((BC$4-1)/12)+1</f>
        <v/>
      </c>
      <c r="BD6" s="14">
        <f>INT((BD$4-1)/12)+1</f>
        <v/>
      </c>
      <c r="BE6" s="14">
        <f>INT((BE$4-1)/12)+1</f>
        <v/>
      </c>
      <c r="BF6" s="14">
        <f>INT((BF$4-1)/12)+1</f>
        <v/>
      </c>
      <c r="BG6" s="14">
        <f>INT((BG$4-1)/12)+1</f>
        <v/>
      </c>
      <c r="BH6" s="14">
        <f>INT((BH$4-1)/12)+1</f>
        <v/>
      </c>
      <c r="BI6" s="14">
        <f>INT((BI$4-1)/12)+1</f>
        <v/>
      </c>
      <c r="BJ6" s="14">
        <f>INT((BJ$4-1)/12)+1</f>
        <v/>
      </c>
      <c r="BK6" s="14">
        <f>INT((BK$4-1)/12)+1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</row>
    <row r="8">
      <c r="A8" s="12" t="inlineStr">
        <is>
          <t>1. Care in the home</t>
        </is>
      </c>
      <c r="B8" s="13" t="n"/>
      <c r="C8" s="1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</row>
    <row r="9">
      <c r="A9" s="14" t="inlineStr">
        <is>
          <t>Care at home clients</t>
        </is>
      </c>
      <c r="B9" s="3" t="inlineStr">
        <is>
          <t>clients</t>
        </is>
      </c>
      <c r="C9" s="2" t="n"/>
      <c r="D9" s="29">
        <f>IF(D$4&lt;HOME_M1,0,IF(D$4&lt;=HOME_M2,HOME_V1+(HOME_V2-HOME_V1)*(D$4-HOME_M1)/(HOME_M2-HOME_M1),IF(D$4&lt;=HOME_M3,HOME_V2+(HOME_V3-HOME_V2)*(D$4-HOME_M2)/(HOME_M3-HOME_M2),HOME_V3)))</f>
        <v/>
      </c>
      <c r="E9" s="29">
        <f>IF(E$4&lt;HOME_M1,0,IF(E$4&lt;=HOME_M2,HOME_V1+(HOME_V2-HOME_V1)*(E$4-HOME_M1)/(HOME_M2-HOME_M1),IF(E$4&lt;=HOME_M3,HOME_V2+(HOME_V3-HOME_V2)*(E$4-HOME_M2)/(HOME_M3-HOME_M2),HOME_V3)))</f>
        <v/>
      </c>
      <c r="F9" s="29">
        <f>IF(F$4&lt;HOME_M1,0,IF(F$4&lt;=HOME_M2,HOME_V1+(HOME_V2-HOME_V1)*(F$4-HOME_M1)/(HOME_M2-HOME_M1),IF(F$4&lt;=HOME_M3,HOME_V2+(HOME_V3-HOME_V2)*(F$4-HOME_M2)/(HOME_M3-HOME_M2),HOME_V3)))</f>
        <v/>
      </c>
      <c r="G9" s="29">
        <f>IF(G$4&lt;HOME_M1,0,IF(G$4&lt;=HOME_M2,HOME_V1+(HOME_V2-HOME_V1)*(G$4-HOME_M1)/(HOME_M2-HOME_M1),IF(G$4&lt;=HOME_M3,HOME_V2+(HOME_V3-HOME_V2)*(G$4-HOME_M2)/(HOME_M3-HOME_M2),HOME_V3)))</f>
        <v/>
      </c>
      <c r="H9" s="29">
        <f>IF(H$4&lt;HOME_M1,0,IF(H$4&lt;=HOME_M2,HOME_V1+(HOME_V2-HOME_V1)*(H$4-HOME_M1)/(HOME_M2-HOME_M1),IF(H$4&lt;=HOME_M3,HOME_V2+(HOME_V3-HOME_V2)*(H$4-HOME_M2)/(HOME_M3-HOME_M2),HOME_V3)))</f>
        <v/>
      </c>
      <c r="I9" s="29">
        <f>IF(I$4&lt;HOME_M1,0,IF(I$4&lt;=HOME_M2,HOME_V1+(HOME_V2-HOME_V1)*(I$4-HOME_M1)/(HOME_M2-HOME_M1),IF(I$4&lt;=HOME_M3,HOME_V2+(HOME_V3-HOME_V2)*(I$4-HOME_M2)/(HOME_M3-HOME_M2),HOME_V3)))</f>
        <v/>
      </c>
      <c r="J9" s="29">
        <f>IF(J$4&lt;HOME_M1,0,IF(J$4&lt;=HOME_M2,HOME_V1+(HOME_V2-HOME_V1)*(J$4-HOME_M1)/(HOME_M2-HOME_M1),IF(J$4&lt;=HOME_M3,HOME_V2+(HOME_V3-HOME_V2)*(J$4-HOME_M2)/(HOME_M3-HOME_M2),HOME_V3)))</f>
        <v/>
      </c>
      <c r="K9" s="29">
        <f>IF(K$4&lt;HOME_M1,0,IF(K$4&lt;=HOME_M2,HOME_V1+(HOME_V2-HOME_V1)*(K$4-HOME_M1)/(HOME_M2-HOME_M1),IF(K$4&lt;=HOME_M3,HOME_V2+(HOME_V3-HOME_V2)*(K$4-HOME_M2)/(HOME_M3-HOME_M2),HOME_V3)))</f>
        <v/>
      </c>
      <c r="L9" s="29">
        <f>IF(L$4&lt;HOME_M1,0,IF(L$4&lt;=HOME_M2,HOME_V1+(HOME_V2-HOME_V1)*(L$4-HOME_M1)/(HOME_M2-HOME_M1),IF(L$4&lt;=HOME_M3,HOME_V2+(HOME_V3-HOME_V2)*(L$4-HOME_M2)/(HOME_M3-HOME_M2),HOME_V3)))</f>
        <v/>
      </c>
      <c r="M9" s="29">
        <f>IF(M$4&lt;HOME_M1,0,IF(M$4&lt;=HOME_M2,HOME_V1+(HOME_V2-HOME_V1)*(M$4-HOME_M1)/(HOME_M2-HOME_M1),IF(M$4&lt;=HOME_M3,HOME_V2+(HOME_V3-HOME_V2)*(M$4-HOME_M2)/(HOME_M3-HOME_M2),HOME_V3)))</f>
        <v/>
      </c>
      <c r="N9" s="29">
        <f>IF(N$4&lt;HOME_M1,0,IF(N$4&lt;=HOME_M2,HOME_V1+(HOME_V2-HOME_V1)*(N$4-HOME_M1)/(HOME_M2-HOME_M1),IF(N$4&lt;=HOME_M3,HOME_V2+(HOME_V3-HOME_V2)*(N$4-HOME_M2)/(HOME_M3-HOME_M2),HOME_V3)))</f>
        <v/>
      </c>
      <c r="O9" s="29">
        <f>IF(O$4&lt;HOME_M1,0,IF(O$4&lt;=HOME_M2,HOME_V1+(HOME_V2-HOME_V1)*(O$4-HOME_M1)/(HOME_M2-HOME_M1),IF(O$4&lt;=HOME_M3,HOME_V2+(HOME_V3-HOME_V2)*(O$4-HOME_M2)/(HOME_M3-HOME_M2),HOME_V3)))</f>
        <v/>
      </c>
      <c r="P9" s="29">
        <f>IF(P$4&lt;HOME_M1,0,IF(P$4&lt;=HOME_M2,HOME_V1+(HOME_V2-HOME_V1)*(P$4-HOME_M1)/(HOME_M2-HOME_M1),IF(P$4&lt;=HOME_M3,HOME_V2+(HOME_V3-HOME_V2)*(P$4-HOME_M2)/(HOME_M3-HOME_M2),HOME_V3)))</f>
        <v/>
      </c>
      <c r="Q9" s="29">
        <f>IF(Q$4&lt;HOME_M1,0,IF(Q$4&lt;=HOME_M2,HOME_V1+(HOME_V2-HOME_V1)*(Q$4-HOME_M1)/(HOME_M2-HOME_M1),IF(Q$4&lt;=HOME_M3,HOME_V2+(HOME_V3-HOME_V2)*(Q$4-HOME_M2)/(HOME_M3-HOME_M2),HOME_V3)))</f>
        <v/>
      </c>
      <c r="R9" s="29">
        <f>IF(R$4&lt;HOME_M1,0,IF(R$4&lt;=HOME_M2,HOME_V1+(HOME_V2-HOME_V1)*(R$4-HOME_M1)/(HOME_M2-HOME_M1),IF(R$4&lt;=HOME_M3,HOME_V2+(HOME_V3-HOME_V2)*(R$4-HOME_M2)/(HOME_M3-HOME_M2),HOME_V3)))</f>
        <v/>
      </c>
      <c r="S9" s="29">
        <f>IF(S$4&lt;HOME_M1,0,IF(S$4&lt;=HOME_M2,HOME_V1+(HOME_V2-HOME_V1)*(S$4-HOME_M1)/(HOME_M2-HOME_M1),IF(S$4&lt;=HOME_M3,HOME_V2+(HOME_V3-HOME_V2)*(S$4-HOME_M2)/(HOME_M3-HOME_M2),HOME_V3)))</f>
        <v/>
      </c>
      <c r="T9" s="29">
        <f>IF(T$4&lt;HOME_M1,0,IF(T$4&lt;=HOME_M2,HOME_V1+(HOME_V2-HOME_V1)*(T$4-HOME_M1)/(HOME_M2-HOME_M1),IF(T$4&lt;=HOME_M3,HOME_V2+(HOME_V3-HOME_V2)*(T$4-HOME_M2)/(HOME_M3-HOME_M2),HOME_V3)))</f>
        <v/>
      </c>
      <c r="U9" s="29">
        <f>IF(U$4&lt;HOME_M1,0,IF(U$4&lt;=HOME_M2,HOME_V1+(HOME_V2-HOME_V1)*(U$4-HOME_M1)/(HOME_M2-HOME_M1),IF(U$4&lt;=HOME_M3,HOME_V2+(HOME_V3-HOME_V2)*(U$4-HOME_M2)/(HOME_M3-HOME_M2),HOME_V3)))</f>
        <v/>
      </c>
      <c r="V9" s="29">
        <f>IF(V$4&lt;HOME_M1,0,IF(V$4&lt;=HOME_M2,HOME_V1+(HOME_V2-HOME_V1)*(V$4-HOME_M1)/(HOME_M2-HOME_M1),IF(V$4&lt;=HOME_M3,HOME_V2+(HOME_V3-HOME_V2)*(V$4-HOME_M2)/(HOME_M3-HOME_M2),HOME_V3)))</f>
        <v/>
      </c>
      <c r="W9" s="29">
        <f>IF(W$4&lt;HOME_M1,0,IF(W$4&lt;=HOME_M2,HOME_V1+(HOME_V2-HOME_V1)*(W$4-HOME_M1)/(HOME_M2-HOME_M1),IF(W$4&lt;=HOME_M3,HOME_V2+(HOME_V3-HOME_V2)*(W$4-HOME_M2)/(HOME_M3-HOME_M2),HOME_V3)))</f>
        <v/>
      </c>
      <c r="X9" s="29">
        <f>IF(X$4&lt;HOME_M1,0,IF(X$4&lt;=HOME_M2,HOME_V1+(HOME_V2-HOME_V1)*(X$4-HOME_M1)/(HOME_M2-HOME_M1),IF(X$4&lt;=HOME_M3,HOME_V2+(HOME_V3-HOME_V2)*(X$4-HOME_M2)/(HOME_M3-HOME_M2),HOME_V3)))</f>
        <v/>
      </c>
      <c r="Y9" s="29">
        <f>IF(Y$4&lt;HOME_M1,0,IF(Y$4&lt;=HOME_M2,HOME_V1+(HOME_V2-HOME_V1)*(Y$4-HOME_M1)/(HOME_M2-HOME_M1),IF(Y$4&lt;=HOME_M3,HOME_V2+(HOME_V3-HOME_V2)*(Y$4-HOME_M2)/(HOME_M3-HOME_M2),HOME_V3)))</f>
        <v/>
      </c>
      <c r="Z9" s="29">
        <f>IF(Z$4&lt;HOME_M1,0,IF(Z$4&lt;=HOME_M2,HOME_V1+(HOME_V2-HOME_V1)*(Z$4-HOME_M1)/(HOME_M2-HOME_M1),IF(Z$4&lt;=HOME_M3,HOME_V2+(HOME_V3-HOME_V2)*(Z$4-HOME_M2)/(HOME_M3-HOME_M2),HOME_V3)))</f>
        <v/>
      </c>
      <c r="AA9" s="29">
        <f>IF(AA$4&lt;HOME_M1,0,IF(AA$4&lt;=HOME_M2,HOME_V1+(HOME_V2-HOME_V1)*(AA$4-HOME_M1)/(HOME_M2-HOME_M1),IF(AA$4&lt;=HOME_M3,HOME_V2+(HOME_V3-HOME_V2)*(AA$4-HOME_M2)/(HOME_M3-HOME_M2),HOME_V3)))</f>
        <v/>
      </c>
      <c r="AB9" s="29">
        <f>IF(AB$4&lt;HOME_M1,0,IF(AB$4&lt;=HOME_M2,HOME_V1+(HOME_V2-HOME_V1)*(AB$4-HOME_M1)/(HOME_M2-HOME_M1),IF(AB$4&lt;=HOME_M3,HOME_V2+(HOME_V3-HOME_V2)*(AB$4-HOME_M2)/(HOME_M3-HOME_M2),HOME_V3)))</f>
        <v/>
      </c>
      <c r="AC9" s="29">
        <f>IF(AC$4&lt;HOME_M1,0,IF(AC$4&lt;=HOME_M2,HOME_V1+(HOME_V2-HOME_V1)*(AC$4-HOME_M1)/(HOME_M2-HOME_M1),IF(AC$4&lt;=HOME_M3,HOME_V2+(HOME_V3-HOME_V2)*(AC$4-HOME_M2)/(HOME_M3-HOME_M2),HOME_V3)))</f>
        <v/>
      </c>
      <c r="AD9" s="29">
        <f>IF(AD$4&lt;HOME_M1,0,IF(AD$4&lt;=HOME_M2,HOME_V1+(HOME_V2-HOME_V1)*(AD$4-HOME_M1)/(HOME_M2-HOME_M1),IF(AD$4&lt;=HOME_M3,HOME_V2+(HOME_V3-HOME_V2)*(AD$4-HOME_M2)/(HOME_M3-HOME_M2),HOME_V3)))</f>
        <v/>
      </c>
      <c r="AE9" s="29">
        <f>IF(AE$4&lt;HOME_M1,0,IF(AE$4&lt;=HOME_M2,HOME_V1+(HOME_V2-HOME_V1)*(AE$4-HOME_M1)/(HOME_M2-HOME_M1),IF(AE$4&lt;=HOME_M3,HOME_V2+(HOME_V3-HOME_V2)*(AE$4-HOME_M2)/(HOME_M3-HOME_M2),HOME_V3)))</f>
        <v/>
      </c>
      <c r="AF9" s="29">
        <f>IF(AF$4&lt;HOME_M1,0,IF(AF$4&lt;=HOME_M2,HOME_V1+(HOME_V2-HOME_V1)*(AF$4-HOME_M1)/(HOME_M2-HOME_M1),IF(AF$4&lt;=HOME_M3,HOME_V2+(HOME_V3-HOME_V2)*(AF$4-HOME_M2)/(HOME_M3-HOME_M2),HOME_V3)))</f>
        <v/>
      </c>
      <c r="AG9" s="29">
        <f>IF(AG$4&lt;HOME_M1,0,IF(AG$4&lt;=HOME_M2,HOME_V1+(HOME_V2-HOME_V1)*(AG$4-HOME_M1)/(HOME_M2-HOME_M1),IF(AG$4&lt;=HOME_M3,HOME_V2+(HOME_V3-HOME_V2)*(AG$4-HOME_M2)/(HOME_M3-HOME_M2),HOME_V3)))</f>
        <v/>
      </c>
      <c r="AH9" s="29">
        <f>IF(AH$4&lt;HOME_M1,0,IF(AH$4&lt;=HOME_M2,HOME_V1+(HOME_V2-HOME_V1)*(AH$4-HOME_M1)/(HOME_M2-HOME_M1),IF(AH$4&lt;=HOME_M3,HOME_V2+(HOME_V3-HOME_V2)*(AH$4-HOME_M2)/(HOME_M3-HOME_M2),HOME_V3)))</f>
        <v/>
      </c>
      <c r="AI9" s="29">
        <f>IF(AI$4&lt;HOME_M1,0,IF(AI$4&lt;=HOME_M2,HOME_V1+(HOME_V2-HOME_V1)*(AI$4-HOME_M1)/(HOME_M2-HOME_M1),IF(AI$4&lt;=HOME_M3,HOME_V2+(HOME_V3-HOME_V2)*(AI$4-HOME_M2)/(HOME_M3-HOME_M2),HOME_V3)))</f>
        <v/>
      </c>
      <c r="AJ9" s="29">
        <f>IF(AJ$4&lt;HOME_M1,0,IF(AJ$4&lt;=HOME_M2,HOME_V1+(HOME_V2-HOME_V1)*(AJ$4-HOME_M1)/(HOME_M2-HOME_M1),IF(AJ$4&lt;=HOME_M3,HOME_V2+(HOME_V3-HOME_V2)*(AJ$4-HOME_M2)/(HOME_M3-HOME_M2),HOME_V3)))</f>
        <v/>
      </c>
      <c r="AK9" s="29">
        <f>IF(AK$4&lt;HOME_M1,0,IF(AK$4&lt;=HOME_M2,HOME_V1+(HOME_V2-HOME_V1)*(AK$4-HOME_M1)/(HOME_M2-HOME_M1),IF(AK$4&lt;=HOME_M3,HOME_V2+(HOME_V3-HOME_V2)*(AK$4-HOME_M2)/(HOME_M3-HOME_M2),HOME_V3)))</f>
        <v/>
      </c>
      <c r="AL9" s="29">
        <f>IF(AL$4&lt;HOME_M1,0,IF(AL$4&lt;=HOME_M2,HOME_V1+(HOME_V2-HOME_V1)*(AL$4-HOME_M1)/(HOME_M2-HOME_M1),IF(AL$4&lt;=HOME_M3,HOME_V2+(HOME_V3-HOME_V2)*(AL$4-HOME_M2)/(HOME_M3-HOME_M2),HOME_V3)))</f>
        <v/>
      </c>
      <c r="AM9" s="29">
        <f>IF(AM$4&lt;HOME_M1,0,IF(AM$4&lt;=HOME_M2,HOME_V1+(HOME_V2-HOME_V1)*(AM$4-HOME_M1)/(HOME_M2-HOME_M1),IF(AM$4&lt;=HOME_M3,HOME_V2+(HOME_V3-HOME_V2)*(AM$4-HOME_M2)/(HOME_M3-HOME_M2),HOME_V3)))</f>
        <v/>
      </c>
      <c r="AN9" s="29">
        <f>IF(AN$4&lt;HOME_M1,0,IF(AN$4&lt;=HOME_M2,HOME_V1+(HOME_V2-HOME_V1)*(AN$4-HOME_M1)/(HOME_M2-HOME_M1),IF(AN$4&lt;=HOME_M3,HOME_V2+(HOME_V3-HOME_V2)*(AN$4-HOME_M2)/(HOME_M3-HOME_M2),HOME_V3)))</f>
        <v/>
      </c>
      <c r="AO9" s="29">
        <f>IF(AO$4&lt;HOME_M1,0,IF(AO$4&lt;=HOME_M2,HOME_V1+(HOME_V2-HOME_V1)*(AO$4-HOME_M1)/(HOME_M2-HOME_M1),IF(AO$4&lt;=HOME_M3,HOME_V2+(HOME_V3-HOME_V2)*(AO$4-HOME_M2)/(HOME_M3-HOME_M2),HOME_V3)))</f>
        <v/>
      </c>
      <c r="AP9" s="29">
        <f>IF(AP$4&lt;HOME_M1,0,IF(AP$4&lt;=HOME_M2,HOME_V1+(HOME_V2-HOME_V1)*(AP$4-HOME_M1)/(HOME_M2-HOME_M1),IF(AP$4&lt;=HOME_M3,HOME_V2+(HOME_V3-HOME_V2)*(AP$4-HOME_M2)/(HOME_M3-HOME_M2),HOME_V3)))</f>
        <v/>
      </c>
      <c r="AQ9" s="29">
        <f>IF(AQ$4&lt;HOME_M1,0,IF(AQ$4&lt;=HOME_M2,HOME_V1+(HOME_V2-HOME_V1)*(AQ$4-HOME_M1)/(HOME_M2-HOME_M1),IF(AQ$4&lt;=HOME_M3,HOME_V2+(HOME_V3-HOME_V2)*(AQ$4-HOME_M2)/(HOME_M3-HOME_M2),HOME_V3)))</f>
        <v/>
      </c>
      <c r="AR9" s="29">
        <f>IF(AR$4&lt;HOME_M1,0,IF(AR$4&lt;=HOME_M2,HOME_V1+(HOME_V2-HOME_V1)*(AR$4-HOME_M1)/(HOME_M2-HOME_M1),IF(AR$4&lt;=HOME_M3,HOME_V2+(HOME_V3-HOME_V2)*(AR$4-HOME_M2)/(HOME_M3-HOME_M2),HOME_V3)))</f>
        <v/>
      </c>
      <c r="AS9" s="29">
        <f>IF(AS$4&lt;HOME_M1,0,IF(AS$4&lt;=HOME_M2,HOME_V1+(HOME_V2-HOME_V1)*(AS$4-HOME_M1)/(HOME_M2-HOME_M1),IF(AS$4&lt;=HOME_M3,HOME_V2+(HOME_V3-HOME_V2)*(AS$4-HOME_M2)/(HOME_M3-HOME_M2),HOME_V3)))</f>
        <v/>
      </c>
      <c r="AT9" s="29">
        <f>IF(AT$4&lt;HOME_M1,0,IF(AT$4&lt;=HOME_M2,HOME_V1+(HOME_V2-HOME_V1)*(AT$4-HOME_M1)/(HOME_M2-HOME_M1),IF(AT$4&lt;=HOME_M3,HOME_V2+(HOME_V3-HOME_V2)*(AT$4-HOME_M2)/(HOME_M3-HOME_M2),HOME_V3)))</f>
        <v/>
      </c>
      <c r="AU9" s="29">
        <f>IF(AU$4&lt;HOME_M1,0,IF(AU$4&lt;=HOME_M2,HOME_V1+(HOME_V2-HOME_V1)*(AU$4-HOME_M1)/(HOME_M2-HOME_M1),IF(AU$4&lt;=HOME_M3,HOME_V2+(HOME_V3-HOME_V2)*(AU$4-HOME_M2)/(HOME_M3-HOME_M2),HOME_V3)))</f>
        <v/>
      </c>
      <c r="AV9" s="29">
        <f>IF(AV$4&lt;HOME_M1,0,IF(AV$4&lt;=HOME_M2,HOME_V1+(HOME_V2-HOME_V1)*(AV$4-HOME_M1)/(HOME_M2-HOME_M1),IF(AV$4&lt;=HOME_M3,HOME_V2+(HOME_V3-HOME_V2)*(AV$4-HOME_M2)/(HOME_M3-HOME_M2),HOME_V3)))</f>
        <v/>
      </c>
      <c r="AW9" s="29">
        <f>IF(AW$4&lt;HOME_M1,0,IF(AW$4&lt;=HOME_M2,HOME_V1+(HOME_V2-HOME_V1)*(AW$4-HOME_M1)/(HOME_M2-HOME_M1),IF(AW$4&lt;=HOME_M3,HOME_V2+(HOME_V3-HOME_V2)*(AW$4-HOME_M2)/(HOME_M3-HOME_M2),HOME_V3)))</f>
        <v/>
      </c>
      <c r="AX9" s="29">
        <f>IF(AX$4&lt;HOME_M1,0,IF(AX$4&lt;=HOME_M2,HOME_V1+(HOME_V2-HOME_V1)*(AX$4-HOME_M1)/(HOME_M2-HOME_M1),IF(AX$4&lt;=HOME_M3,HOME_V2+(HOME_V3-HOME_V2)*(AX$4-HOME_M2)/(HOME_M3-HOME_M2),HOME_V3)))</f>
        <v/>
      </c>
      <c r="AY9" s="29">
        <f>IF(AY$4&lt;HOME_M1,0,IF(AY$4&lt;=HOME_M2,HOME_V1+(HOME_V2-HOME_V1)*(AY$4-HOME_M1)/(HOME_M2-HOME_M1),IF(AY$4&lt;=HOME_M3,HOME_V2+(HOME_V3-HOME_V2)*(AY$4-HOME_M2)/(HOME_M3-HOME_M2),HOME_V3)))</f>
        <v/>
      </c>
      <c r="AZ9" s="29">
        <f>IF(AZ$4&lt;HOME_M1,0,IF(AZ$4&lt;=HOME_M2,HOME_V1+(HOME_V2-HOME_V1)*(AZ$4-HOME_M1)/(HOME_M2-HOME_M1),IF(AZ$4&lt;=HOME_M3,HOME_V2+(HOME_V3-HOME_V2)*(AZ$4-HOME_M2)/(HOME_M3-HOME_M2),HOME_V3)))</f>
        <v/>
      </c>
      <c r="BA9" s="29">
        <f>IF(BA$4&lt;HOME_M1,0,IF(BA$4&lt;=HOME_M2,HOME_V1+(HOME_V2-HOME_V1)*(BA$4-HOME_M1)/(HOME_M2-HOME_M1),IF(BA$4&lt;=HOME_M3,HOME_V2+(HOME_V3-HOME_V2)*(BA$4-HOME_M2)/(HOME_M3-HOME_M2),HOME_V3)))</f>
        <v/>
      </c>
      <c r="BB9" s="29">
        <f>IF(BB$4&lt;HOME_M1,0,IF(BB$4&lt;=HOME_M2,HOME_V1+(HOME_V2-HOME_V1)*(BB$4-HOME_M1)/(HOME_M2-HOME_M1),IF(BB$4&lt;=HOME_M3,HOME_V2+(HOME_V3-HOME_V2)*(BB$4-HOME_M2)/(HOME_M3-HOME_M2),HOME_V3)))</f>
        <v/>
      </c>
      <c r="BC9" s="29">
        <f>IF(BC$4&lt;HOME_M1,0,IF(BC$4&lt;=HOME_M2,HOME_V1+(HOME_V2-HOME_V1)*(BC$4-HOME_M1)/(HOME_M2-HOME_M1),IF(BC$4&lt;=HOME_M3,HOME_V2+(HOME_V3-HOME_V2)*(BC$4-HOME_M2)/(HOME_M3-HOME_M2),HOME_V3)))</f>
        <v/>
      </c>
      <c r="BD9" s="29">
        <f>IF(BD$4&lt;HOME_M1,0,IF(BD$4&lt;=HOME_M2,HOME_V1+(HOME_V2-HOME_V1)*(BD$4-HOME_M1)/(HOME_M2-HOME_M1),IF(BD$4&lt;=HOME_M3,HOME_V2+(HOME_V3-HOME_V2)*(BD$4-HOME_M2)/(HOME_M3-HOME_M2),HOME_V3)))</f>
        <v/>
      </c>
      <c r="BE9" s="29">
        <f>IF(BE$4&lt;HOME_M1,0,IF(BE$4&lt;=HOME_M2,HOME_V1+(HOME_V2-HOME_V1)*(BE$4-HOME_M1)/(HOME_M2-HOME_M1),IF(BE$4&lt;=HOME_M3,HOME_V2+(HOME_V3-HOME_V2)*(BE$4-HOME_M2)/(HOME_M3-HOME_M2),HOME_V3)))</f>
        <v/>
      </c>
      <c r="BF9" s="29">
        <f>IF(BF$4&lt;HOME_M1,0,IF(BF$4&lt;=HOME_M2,HOME_V1+(HOME_V2-HOME_V1)*(BF$4-HOME_M1)/(HOME_M2-HOME_M1),IF(BF$4&lt;=HOME_M3,HOME_V2+(HOME_V3-HOME_V2)*(BF$4-HOME_M2)/(HOME_M3-HOME_M2),HOME_V3)))</f>
        <v/>
      </c>
      <c r="BG9" s="29">
        <f>IF(BG$4&lt;HOME_M1,0,IF(BG$4&lt;=HOME_M2,HOME_V1+(HOME_V2-HOME_V1)*(BG$4-HOME_M1)/(HOME_M2-HOME_M1),IF(BG$4&lt;=HOME_M3,HOME_V2+(HOME_V3-HOME_V2)*(BG$4-HOME_M2)/(HOME_M3-HOME_M2),HOME_V3)))</f>
        <v/>
      </c>
      <c r="BH9" s="29">
        <f>IF(BH$4&lt;HOME_M1,0,IF(BH$4&lt;=HOME_M2,HOME_V1+(HOME_V2-HOME_V1)*(BH$4-HOME_M1)/(HOME_M2-HOME_M1),IF(BH$4&lt;=HOME_M3,HOME_V2+(HOME_V3-HOME_V2)*(BH$4-HOME_M2)/(HOME_M3-HOME_M2),HOME_V3)))</f>
        <v/>
      </c>
      <c r="BI9" s="29">
        <f>IF(BI$4&lt;HOME_M1,0,IF(BI$4&lt;=HOME_M2,HOME_V1+(HOME_V2-HOME_V1)*(BI$4-HOME_M1)/(HOME_M2-HOME_M1),IF(BI$4&lt;=HOME_M3,HOME_V2+(HOME_V3-HOME_V2)*(BI$4-HOME_M2)/(HOME_M3-HOME_M2),HOME_V3)))</f>
        <v/>
      </c>
      <c r="BJ9" s="29">
        <f>IF(BJ$4&lt;HOME_M1,0,IF(BJ$4&lt;=HOME_M2,HOME_V1+(HOME_V2-HOME_V1)*(BJ$4-HOME_M1)/(HOME_M2-HOME_M1),IF(BJ$4&lt;=HOME_M3,HOME_V2+(HOME_V3-HOME_V2)*(BJ$4-HOME_M2)/(HOME_M3-HOME_M2),HOME_V3)))</f>
        <v/>
      </c>
      <c r="BK9" s="29">
        <f>IF(BK$4&lt;HOME_M1,0,IF(BK$4&lt;=HOME_M2,HOME_V1+(HOME_V2-HOME_V1)*(BK$4-HOME_M1)/(HOME_M2-HOME_M1),IF(BK$4&lt;=HOME_M3,HOME_V2+(HOME_V3-HOME_V2)*(BK$4-HOME_M2)/(HOME_M3-HOME_M2),HOME_V3)))</f>
        <v/>
      </c>
    </row>
    <row r="10">
      <c r="A10" s="14" t="inlineStr">
        <is>
          <t>Concierge members</t>
        </is>
      </c>
      <c r="B10" s="3" t="inlineStr">
        <is>
          <t>members</t>
        </is>
      </c>
      <c r="C10" s="2" t="n"/>
      <c r="D10" s="29">
        <f>IF(D$4&lt;CONC_M1,0,IF(D$4&lt;=CONC_M2,CONC_V1+(CONC_V2-CONC_V1)*(D$4-CONC_M1)/(CONC_M2-CONC_M1),IF(D$4&lt;=CONC_M3,CONC_V2+(CONC_V3-CONC_V2)*(D$4-CONC_M2)/(CONC_M3-CONC_M2),CONC_V3)))</f>
        <v/>
      </c>
      <c r="E10" s="29">
        <f>IF(E$4&lt;CONC_M1,0,IF(E$4&lt;=CONC_M2,CONC_V1+(CONC_V2-CONC_V1)*(E$4-CONC_M1)/(CONC_M2-CONC_M1),IF(E$4&lt;=CONC_M3,CONC_V2+(CONC_V3-CONC_V2)*(E$4-CONC_M2)/(CONC_M3-CONC_M2),CONC_V3)))</f>
        <v/>
      </c>
      <c r="F10" s="29">
        <f>IF(F$4&lt;CONC_M1,0,IF(F$4&lt;=CONC_M2,CONC_V1+(CONC_V2-CONC_V1)*(F$4-CONC_M1)/(CONC_M2-CONC_M1),IF(F$4&lt;=CONC_M3,CONC_V2+(CONC_V3-CONC_V2)*(F$4-CONC_M2)/(CONC_M3-CONC_M2),CONC_V3)))</f>
        <v/>
      </c>
      <c r="G10" s="29">
        <f>IF(G$4&lt;CONC_M1,0,IF(G$4&lt;=CONC_M2,CONC_V1+(CONC_V2-CONC_V1)*(G$4-CONC_M1)/(CONC_M2-CONC_M1),IF(G$4&lt;=CONC_M3,CONC_V2+(CONC_V3-CONC_V2)*(G$4-CONC_M2)/(CONC_M3-CONC_M2),CONC_V3)))</f>
        <v/>
      </c>
      <c r="H10" s="29">
        <f>IF(H$4&lt;CONC_M1,0,IF(H$4&lt;=CONC_M2,CONC_V1+(CONC_V2-CONC_V1)*(H$4-CONC_M1)/(CONC_M2-CONC_M1),IF(H$4&lt;=CONC_M3,CONC_V2+(CONC_V3-CONC_V2)*(H$4-CONC_M2)/(CONC_M3-CONC_M2),CONC_V3)))</f>
        <v/>
      </c>
      <c r="I10" s="29">
        <f>IF(I$4&lt;CONC_M1,0,IF(I$4&lt;=CONC_M2,CONC_V1+(CONC_V2-CONC_V1)*(I$4-CONC_M1)/(CONC_M2-CONC_M1),IF(I$4&lt;=CONC_M3,CONC_V2+(CONC_V3-CONC_V2)*(I$4-CONC_M2)/(CONC_M3-CONC_M2),CONC_V3)))</f>
        <v/>
      </c>
      <c r="J10" s="29">
        <f>IF(J$4&lt;CONC_M1,0,IF(J$4&lt;=CONC_M2,CONC_V1+(CONC_V2-CONC_V1)*(J$4-CONC_M1)/(CONC_M2-CONC_M1),IF(J$4&lt;=CONC_M3,CONC_V2+(CONC_V3-CONC_V2)*(J$4-CONC_M2)/(CONC_M3-CONC_M2),CONC_V3)))</f>
        <v/>
      </c>
      <c r="K10" s="29">
        <f>IF(K$4&lt;CONC_M1,0,IF(K$4&lt;=CONC_M2,CONC_V1+(CONC_V2-CONC_V1)*(K$4-CONC_M1)/(CONC_M2-CONC_M1),IF(K$4&lt;=CONC_M3,CONC_V2+(CONC_V3-CONC_V2)*(K$4-CONC_M2)/(CONC_M3-CONC_M2),CONC_V3)))</f>
        <v/>
      </c>
      <c r="L10" s="29">
        <f>IF(L$4&lt;CONC_M1,0,IF(L$4&lt;=CONC_M2,CONC_V1+(CONC_V2-CONC_V1)*(L$4-CONC_M1)/(CONC_M2-CONC_M1),IF(L$4&lt;=CONC_M3,CONC_V2+(CONC_V3-CONC_V2)*(L$4-CONC_M2)/(CONC_M3-CONC_M2),CONC_V3)))</f>
        <v/>
      </c>
      <c r="M10" s="29">
        <f>IF(M$4&lt;CONC_M1,0,IF(M$4&lt;=CONC_M2,CONC_V1+(CONC_V2-CONC_V1)*(M$4-CONC_M1)/(CONC_M2-CONC_M1),IF(M$4&lt;=CONC_M3,CONC_V2+(CONC_V3-CONC_V2)*(M$4-CONC_M2)/(CONC_M3-CONC_M2),CONC_V3)))</f>
        <v/>
      </c>
      <c r="N10" s="29">
        <f>IF(N$4&lt;CONC_M1,0,IF(N$4&lt;=CONC_M2,CONC_V1+(CONC_V2-CONC_V1)*(N$4-CONC_M1)/(CONC_M2-CONC_M1),IF(N$4&lt;=CONC_M3,CONC_V2+(CONC_V3-CONC_V2)*(N$4-CONC_M2)/(CONC_M3-CONC_M2),CONC_V3)))</f>
        <v/>
      </c>
      <c r="O10" s="29">
        <f>IF(O$4&lt;CONC_M1,0,IF(O$4&lt;=CONC_M2,CONC_V1+(CONC_V2-CONC_V1)*(O$4-CONC_M1)/(CONC_M2-CONC_M1),IF(O$4&lt;=CONC_M3,CONC_V2+(CONC_V3-CONC_V2)*(O$4-CONC_M2)/(CONC_M3-CONC_M2),CONC_V3)))</f>
        <v/>
      </c>
      <c r="P10" s="29">
        <f>IF(P$4&lt;CONC_M1,0,IF(P$4&lt;=CONC_M2,CONC_V1+(CONC_V2-CONC_V1)*(P$4-CONC_M1)/(CONC_M2-CONC_M1),IF(P$4&lt;=CONC_M3,CONC_V2+(CONC_V3-CONC_V2)*(P$4-CONC_M2)/(CONC_M3-CONC_M2),CONC_V3)))</f>
        <v/>
      </c>
      <c r="Q10" s="29">
        <f>IF(Q$4&lt;CONC_M1,0,IF(Q$4&lt;=CONC_M2,CONC_V1+(CONC_V2-CONC_V1)*(Q$4-CONC_M1)/(CONC_M2-CONC_M1),IF(Q$4&lt;=CONC_M3,CONC_V2+(CONC_V3-CONC_V2)*(Q$4-CONC_M2)/(CONC_M3-CONC_M2),CONC_V3)))</f>
        <v/>
      </c>
      <c r="R10" s="29">
        <f>IF(R$4&lt;CONC_M1,0,IF(R$4&lt;=CONC_M2,CONC_V1+(CONC_V2-CONC_V1)*(R$4-CONC_M1)/(CONC_M2-CONC_M1),IF(R$4&lt;=CONC_M3,CONC_V2+(CONC_V3-CONC_V2)*(R$4-CONC_M2)/(CONC_M3-CONC_M2),CONC_V3)))</f>
        <v/>
      </c>
      <c r="S10" s="29">
        <f>IF(S$4&lt;CONC_M1,0,IF(S$4&lt;=CONC_M2,CONC_V1+(CONC_V2-CONC_V1)*(S$4-CONC_M1)/(CONC_M2-CONC_M1),IF(S$4&lt;=CONC_M3,CONC_V2+(CONC_V3-CONC_V2)*(S$4-CONC_M2)/(CONC_M3-CONC_M2),CONC_V3)))</f>
        <v/>
      </c>
      <c r="T10" s="29">
        <f>IF(T$4&lt;CONC_M1,0,IF(T$4&lt;=CONC_M2,CONC_V1+(CONC_V2-CONC_V1)*(T$4-CONC_M1)/(CONC_M2-CONC_M1),IF(T$4&lt;=CONC_M3,CONC_V2+(CONC_V3-CONC_V2)*(T$4-CONC_M2)/(CONC_M3-CONC_M2),CONC_V3)))</f>
        <v/>
      </c>
      <c r="U10" s="29">
        <f>IF(U$4&lt;CONC_M1,0,IF(U$4&lt;=CONC_M2,CONC_V1+(CONC_V2-CONC_V1)*(U$4-CONC_M1)/(CONC_M2-CONC_M1),IF(U$4&lt;=CONC_M3,CONC_V2+(CONC_V3-CONC_V2)*(U$4-CONC_M2)/(CONC_M3-CONC_M2),CONC_V3)))</f>
        <v/>
      </c>
      <c r="V10" s="29">
        <f>IF(V$4&lt;CONC_M1,0,IF(V$4&lt;=CONC_M2,CONC_V1+(CONC_V2-CONC_V1)*(V$4-CONC_M1)/(CONC_M2-CONC_M1),IF(V$4&lt;=CONC_M3,CONC_V2+(CONC_V3-CONC_V2)*(V$4-CONC_M2)/(CONC_M3-CONC_M2),CONC_V3)))</f>
        <v/>
      </c>
      <c r="W10" s="29">
        <f>IF(W$4&lt;CONC_M1,0,IF(W$4&lt;=CONC_M2,CONC_V1+(CONC_V2-CONC_V1)*(W$4-CONC_M1)/(CONC_M2-CONC_M1),IF(W$4&lt;=CONC_M3,CONC_V2+(CONC_V3-CONC_V2)*(W$4-CONC_M2)/(CONC_M3-CONC_M2),CONC_V3)))</f>
        <v/>
      </c>
      <c r="X10" s="29">
        <f>IF(X$4&lt;CONC_M1,0,IF(X$4&lt;=CONC_M2,CONC_V1+(CONC_V2-CONC_V1)*(X$4-CONC_M1)/(CONC_M2-CONC_M1),IF(X$4&lt;=CONC_M3,CONC_V2+(CONC_V3-CONC_V2)*(X$4-CONC_M2)/(CONC_M3-CONC_M2),CONC_V3)))</f>
        <v/>
      </c>
      <c r="Y10" s="29">
        <f>IF(Y$4&lt;CONC_M1,0,IF(Y$4&lt;=CONC_M2,CONC_V1+(CONC_V2-CONC_V1)*(Y$4-CONC_M1)/(CONC_M2-CONC_M1),IF(Y$4&lt;=CONC_M3,CONC_V2+(CONC_V3-CONC_V2)*(Y$4-CONC_M2)/(CONC_M3-CONC_M2),CONC_V3)))</f>
        <v/>
      </c>
      <c r="Z10" s="29">
        <f>IF(Z$4&lt;CONC_M1,0,IF(Z$4&lt;=CONC_M2,CONC_V1+(CONC_V2-CONC_V1)*(Z$4-CONC_M1)/(CONC_M2-CONC_M1),IF(Z$4&lt;=CONC_M3,CONC_V2+(CONC_V3-CONC_V2)*(Z$4-CONC_M2)/(CONC_M3-CONC_M2),CONC_V3)))</f>
        <v/>
      </c>
      <c r="AA10" s="29">
        <f>IF(AA$4&lt;CONC_M1,0,IF(AA$4&lt;=CONC_M2,CONC_V1+(CONC_V2-CONC_V1)*(AA$4-CONC_M1)/(CONC_M2-CONC_M1),IF(AA$4&lt;=CONC_M3,CONC_V2+(CONC_V3-CONC_V2)*(AA$4-CONC_M2)/(CONC_M3-CONC_M2),CONC_V3)))</f>
        <v/>
      </c>
      <c r="AB10" s="29">
        <f>IF(AB$4&lt;CONC_M1,0,IF(AB$4&lt;=CONC_M2,CONC_V1+(CONC_V2-CONC_V1)*(AB$4-CONC_M1)/(CONC_M2-CONC_M1),IF(AB$4&lt;=CONC_M3,CONC_V2+(CONC_V3-CONC_V2)*(AB$4-CONC_M2)/(CONC_M3-CONC_M2),CONC_V3)))</f>
        <v/>
      </c>
      <c r="AC10" s="29">
        <f>IF(AC$4&lt;CONC_M1,0,IF(AC$4&lt;=CONC_M2,CONC_V1+(CONC_V2-CONC_V1)*(AC$4-CONC_M1)/(CONC_M2-CONC_M1),IF(AC$4&lt;=CONC_M3,CONC_V2+(CONC_V3-CONC_V2)*(AC$4-CONC_M2)/(CONC_M3-CONC_M2),CONC_V3)))</f>
        <v/>
      </c>
      <c r="AD10" s="29">
        <f>IF(AD$4&lt;CONC_M1,0,IF(AD$4&lt;=CONC_M2,CONC_V1+(CONC_V2-CONC_V1)*(AD$4-CONC_M1)/(CONC_M2-CONC_M1),IF(AD$4&lt;=CONC_M3,CONC_V2+(CONC_V3-CONC_V2)*(AD$4-CONC_M2)/(CONC_M3-CONC_M2),CONC_V3)))</f>
        <v/>
      </c>
      <c r="AE10" s="29">
        <f>IF(AE$4&lt;CONC_M1,0,IF(AE$4&lt;=CONC_M2,CONC_V1+(CONC_V2-CONC_V1)*(AE$4-CONC_M1)/(CONC_M2-CONC_M1),IF(AE$4&lt;=CONC_M3,CONC_V2+(CONC_V3-CONC_V2)*(AE$4-CONC_M2)/(CONC_M3-CONC_M2),CONC_V3)))</f>
        <v/>
      </c>
      <c r="AF10" s="29">
        <f>IF(AF$4&lt;CONC_M1,0,IF(AF$4&lt;=CONC_M2,CONC_V1+(CONC_V2-CONC_V1)*(AF$4-CONC_M1)/(CONC_M2-CONC_M1),IF(AF$4&lt;=CONC_M3,CONC_V2+(CONC_V3-CONC_V2)*(AF$4-CONC_M2)/(CONC_M3-CONC_M2),CONC_V3)))</f>
        <v/>
      </c>
      <c r="AG10" s="29">
        <f>IF(AG$4&lt;CONC_M1,0,IF(AG$4&lt;=CONC_M2,CONC_V1+(CONC_V2-CONC_V1)*(AG$4-CONC_M1)/(CONC_M2-CONC_M1),IF(AG$4&lt;=CONC_M3,CONC_V2+(CONC_V3-CONC_V2)*(AG$4-CONC_M2)/(CONC_M3-CONC_M2),CONC_V3)))</f>
        <v/>
      </c>
      <c r="AH10" s="29">
        <f>IF(AH$4&lt;CONC_M1,0,IF(AH$4&lt;=CONC_M2,CONC_V1+(CONC_V2-CONC_V1)*(AH$4-CONC_M1)/(CONC_M2-CONC_M1),IF(AH$4&lt;=CONC_M3,CONC_V2+(CONC_V3-CONC_V2)*(AH$4-CONC_M2)/(CONC_M3-CONC_M2),CONC_V3)))</f>
        <v/>
      </c>
      <c r="AI10" s="29">
        <f>IF(AI$4&lt;CONC_M1,0,IF(AI$4&lt;=CONC_M2,CONC_V1+(CONC_V2-CONC_V1)*(AI$4-CONC_M1)/(CONC_M2-CONC_M1),IF(AI$4&lt;=CONC_M3,CONC_V2+(CONC_V3-CONC_V2)*(AI$4-CONC_M2)/(CONC_M3-CONC_M2),CONC_V3)))</f>
        <v/>
      </c>
      <c r="AJ10" s="29">
        <f>IF(AJ$4&lt;CONC_M1,0,IF(AJ$4&lt;=CONC_M2,CONC_V1+(CONC_V2-CONC_V1)*(AJ$4-CONC_M1)/(CONC_M2-CONC_M1),IF(AJ$4&lt;=CONC_M3,CONC_V2+(CONC_V3-CONC_V2)*(AJ$4-CONC_M2)/(CONC_M3-CONC_M2),CONC_V3)))</f>
        <v/>
      </c>
      <c r="AK10" s="29">
        <f>IF(AK$4&lt;CONC_M1,0,IF(AK$4&lt;=CONC_M2,CONC_V1+(CONC_V2-CONC_V1)*(AK$4-CONC_M1)/(CONC_M2-CONC_M1),IF(AK$4&lt;=CONC_M3,CONC_V2+(CONC_V3-CONC_V2)*(AK$4-CONC_M2)/(CONC_M3-CONC_M2),CONC_V3)))</f>
        <v/>
      </c>
      <c r="AL10" s="29">
        <f>IF(AL$4&lt;CONC_M1,0,IF(AL$4&lt;=CONC_M2,CONC_V1+(CONC_V2-CONC_V1)*(AL$4-CONC_M1)/(CONC_M2-CONC_M1),IF(AL$4&lt;=CONC_M3,CONC_V2+(CONC_V3-CONC_V2)*(AL$4-CONC_M2)/(CONC_M3-CONC_M2),CONC_V3)))</f>
        <v/>
      </c>
      <c r="AM10" s="29">
        <f>IF(AM$4&lt;CONC_M1,0,IF(AM$4&lt;=CONC_M2,CONC_V1+(CONC_V2-CONC_V1)*(AM$4-CONC_M1)/(CONC_M2-CONC_M1),IF(AM$4&lt;=CONC_M3,CONC_V2+(CONC_V3-CONC_V2)*(AM$4-CONC_M2)/(CONC_M3-CONC_M2),CONC_V3)))</f>
        <v/>
      </c>
      <c r="AN10" s="29">
        <f>IF(AN$4&lt;CONC_M1,0,IF(AN$4&lt;=CONC_M2,CONC_V1+(CONC_V2-CONC_V1)*(AN$4-CONC_M1)/(CONC_M2-CONC_M1),IF(AN$4&lt;=CONC_M3,CONC_V2+(CONC_V3-CONC_V2)*(AN$4-CONC_M2)/(CONC_M3-CONC_M2),CONC_V3)))</f>
        <v/>
      </c>
      <c r="AO10" s="29">
        <f>IF(AO$4&lt;CONC_M1,0,IF(AO$4&lt;=CONC_M2,CONC_V1+(CONC_V2-CONC_V1)*(AO$4-CONC_M1)/(CONC_M2-CONC_M1),IF(AO$4&lt;=CONC_M3,CONC_V2+(CONC_V3-CONC_V2)*(AO$4-CONC_M2)/(CONC_M3-CONC_M2),CONC_V3)))</f>
        <v/>
      </c>
      <c r="AP10" s="29">
        <f>IF(AP$4&lt;CONC_M1,0,IF(AP$4&lt;=CONC_M2,CONC_V1+(CONC_V2-CONC_V1)*(AP$4-CONC_M1)/(CONC_M2-CONC_M1),IF(AP$4&lt;=CONC_M3,CONC_V2+(CONC_V3-CONC_V2)*(AP$4-CONC_M2)/(CONC_M3-CONC_M2),CONC_V3)))</f>
        <v/>
      </c>
      <c r="AQ10" s="29">
        <f>IF(AQ$4&lt;CONC_M1,0,IF(AQ$4&lt;=CONC_M2,CONC_V1+(CONC_V2-CONC_V1)*(AQ$4-CONC_M1)/(CONC_M2-CONC_M1),IF(AQ$4&lt;=CONC_M3,CONC_V2+(CONC_V3-CONC_V2)*(AQ$4-CONC_M2)/(CONC_M3-CONC_M2),CONC_V3)))</f>
        <v/>
      </c>
      <c r="AR10" s="29">
        <f>IF(AR$4&lt;CONC_M1,0,IF(AR$4&lt;=CONC_M2,CONC_V1+(CONC_V2-CONC_V1)*(AR$4-CONC_M1)/(CONC_M2-CONC_M1),IF(AR$4&lt;=CONC_M3,CONC_V2+(CONC_V3-CONC_V2)*(AR$4-CONC_M2)/(CONC_M3-CONC_M2),CONC_V3)))</f>
        <v/>
      </c>
      <c r="AS10" s="29">
        <f>IF(AS$4&lt;CONC_M1,0,IF(AS$4&lt;=CONC_M2,CONC_V1+(CONC_V2-CONC_V1)*(AS$4-CONC_M1)/(CONC_M2-CONC_M1),IF(AS$4&lt;=CONC_M3,CONC_V2+(CONC_V3-CONC_V2)*(AS$4-CONC_M2)/(CONC_M3-CONC_M2),CONC_V3)))</f>
        <v/>
      </c>
      <c r="AT10" s="29">
        <f>IF(AT$4&lt;CONC_M1,0,IF(AT$4&lt;=CONC_M2,CONC_V1+(CONC_V2-CONC_V1)*(AT$4-CONC_M1)/(CONC_M2-CONC_M1),IF(AT$4&lt;=CONC_M3,CONC_V2+(CONC_V3-CONC_V2)*(AT$4-CONC_M2)/(CONC_M3-CONC_M2),CONC_V3)))</f>
        <v/>
      </c>
      <c r="AU10" s="29">
        <f>IF(AU$4&lt;CONC_M1,0,IF(AU$4&lt;=CONC_M2,CONC_V1+(CONC_V2-CONC_V1)*(AU$4-CONC_M1)/(CONC_M2-CONC_M1),IF(AU$4&lt;=CONC_M3,CONC_V2+(CONC_V3-CONC_V2)*(AU$4-CONC_M2)/(CONC_M3-CONC_M2),CONC_V3)))</f>
        <v/>
      </c>
      <c r="AV10" s="29">
        <f>IF(AV$4&lt;CONC_M1,0,IF(AV$4&lt;=CONC_M2,CONC_V1+(CONC_V2-CONC_V1)*(AV$4-CONC_M1)/(CONC_M2-CONC_M1),IF(AV$4&lt;=CONC_M3,CONC_V2+(CONC_V3-CONC_V2)*(AV$4-CONC_M2)/(CONC_M3-CONC_M2),CONC_V3)))</f>
        <v/>
      </c>
      <c r="AW10" s="29">
        <f>IF(AW$4&lt;CONC_M1,0,IF(AW$4&lt;=CONC_M2,CONC_V1+(CONC_V2-CONC_V1)*(AW$4-CONC_M1)/(CONC_M2-CONC_M1),IF(AW$4&lt;=CONC_M3,CONC_V2+(CONC_V3-CONC_V2)*(AW$4-CONC_M2)/(CONC_M3-CONC_M2),CONC_V3)))</f>
        <v/>
      </c>
      <c r="AX10" s="29">
        <f>IF(AX$4&lt;CONC_M1,0,IF(AX$4&lt;=CONC_M2,CONC_V1+(CONC_V2-CONC_V1)*(AX$4-CONC_M1)/(CONC_M2-CONC_M1),IF(AX$4&lt;=CONC_M3,CONC_V2+(CONC_V3-CONC_V2)*(AX$4-CONC_M2)/(CONC_M3-CONC_M2),CONC_V3)))</f>
        <v/>
      </c>
      <c r="AY10" s="29">
        <f>IF(AY$4&lt;CONC_M1,0,IF(AY$4&lt;=CONC_M2,CONC_V1+(CONC_V2-CONC_V1)*(AY$4-CONC_M1)/(CONC_M2-CONC_M1),IF(AY$4&lt;=CONC_M3,CONC_V2+(CONC_V3-CONC_V2)*(AY$4-CONC_M2)/(CONC_M3-CONC_M2),CONC_V3)))</f>
        <v/>
      </c>
      <c r="AZ10" s="29">
        <f>IF(AZ$4&lt;CONC_M1,0,IF(AZ$4&lt;=CONC_M2,CONC_V1+(CONC_V2-CONC_V1)*(AZ$4-CONC_M1)/(CONC_M2-CONC_M1),IF(AZ$4&lt;=CONC_M3,CONC_V2+(CONC_V3-CONC_V2)*(AZ$4-CONC_M2)/(CONC_M3-CONC_M2),CONC_V3)))</f>
        <v/>
      </c>
      <c r="BA10" s="29">
        <f>IF(BA$4&lt;CONC_M1,0,IF(BA$4&lt;=CONC_M2,CONC_V1+(CONC_V2-CONC_V1)*(BA$4-CONC_M1)/(CONC_M2-CONC_M1),IF(BA$4&lt;=CONC_M3,CONC_V2+(CONC_V3-CONC_V2)*(BA$4-CONC_M2)/(CONC_M3-CONC_M2),CONC_V3)))</f>
        <v/>
      </c>
      <c r="BB10" s="29">
        <f>IF(BB$4&lt;CONC_M1,0,IF(BB$4&lt;=CONC_M2,CONC_V1+(CONC_V2-CONC_V1)*(BB$4-CONC_M1)/(CONC_M2-CONC_M1),IF(BB$4&lt;=CONC_M3,CONC_V2+(CONC_V3-CONC_V2)*(BB$4-CONC_M2)/(CONC_M3-CONC_M2),CONC_V3)))</f>
        <v/>
      </c>
      <c r="BC10" s="29">
        <f>IF(BC$4&lt;CONC_M1,0,IF(BC$4&lt;=CONC_M2,CONC_V1+(CONC_V2-CONC_V1)*(BC$4-CONC_M1)/(CONC_M2-CONC_M1),IF(BC$4&lt;=CONC_M3,CONC_V2+(CONC_V3-CONC_V2)*(BC$4-CONC_M2)/(CONC_M3-CONC_M2),CONC_V3)))</f>
        <v/>
      </c>
      <c r="BD10" s="29">
        <f>IF(BD$4&lt;CONC_M1,0,IF(BD$4&lt;=CONC_M2,CONC_V1+(CONC_V2-CONC_V1)*(BD$4-CONC_M1)/(CONC_M2-CONC_M1),IF(BD$4&lt;=CONC_M3,CONC_V2+(CONC_V3-CONC_V2)*(BD$4-CONC_M2)/(CONC_M3-CONC_M2),CONC_V3)))</f>
        <v/>
      </c>
      <c r="BE10" s="29">
        <f>IF(BE$4&lt;CONC_M1,0,IF(BE$4&lt;=CONC_M2,CONC_V1+(CONC_V2-CONC_V1)*(BE$4-CONC_M1)/(CONC_M2-CONC_M1),IF(BE$4&lt;=CONC_M3,CONC_V2+(CONC_V3-CONC_V2)*(BE$4-CONC_M2)/(CONC_M3-CONC_M2),CONC_V3)))</f>
        <v/>
      </c>
      <c r="BF10" s="29">
        <f>IF(BF$4&lt;CONC_M1,0,IF(BF$4&lt;=CONC_M2,CONC_V1+(CONC_V2-CONC_V1)*(BF$4-CONC_M1)/(CONC_M2-CONC_M1),IF(BF$4&lt;=CONC_M3,CONC_V2+(CONC_V3-CONC_V2)*(BF$4-CONC_M2)/(CONC_M3-CONC_M2),CONC_V3)))</f>
        <v/>
      </c>
      <c r="BG10" s="29">
        <f>IF(BG$4&lt;CONC_M1,0,IF(BG$4&lt;=CONC_M2,CONC_V1+(CONC_V2-CONC_V1)*(BG$4-CONC_M1)/(CONC_M2-CONC_M1),IF(BG$4&lt;=CONC_M3,CONC_V2+(CONC_V3-CONC_V2)*(BG$4-CONC_M2)/(CONC_M3-CONC_M2),CONC_V3)))</f>
        <v/>
      </c>
      <c r="BH10" s="29">
        <f>IF(BH$4&lt;CONC_M1,0,IF(BH$4&lt;=CONC_M2,CONC_V1+(CONC_V2-CONC_V1)*(BH$4-CONC_M1)/(CONC_M2-CONC_M1),IF(BH$4&lt;=CONC_M3,CONC_V2+(CONC_V3-CONC_V2)*(BH$4-CONC_M2)/(CONC_M3-CONC_M2),CONC_V3)))</f>
        <v/>
      </c>
      <c r="BI10" s="29">
        <f>IF(BI$4&lt;CONC_M1,0,IF(BI$4&lt;=CONC_M2,CONC_V1+(CONC_V2-CONC_V1)*(BI$4-CONC_M1)/(CONC_M2-CONC_M1),IF(BI$4&lt;=CONC_M3,CONC_V2+(CONC_V3-CONC_V2)*(BI$4-CONC_M2)/(CONC_M3-CONC_M2),CONC_V3)))</f>
        <v/>
      </c>
      <c r="BJ10" s="29">
        <f>IF(BJ$4&lt;CONC_M1,0,IF(BJ$4&lt;=CONC_M2,CONC_V1+(CONC_V2-CONC_V1)*(BJ$4-CONC_M1)/(CONC_M2-CONC_M1),IF(BJ$4&lt;=CONC_M3,CONC_V2+(CONC_V3-CONC_V2)*(BJ$4-CONC_M2)/(CONC_M3-CONC_M2),CONC_V3)))</f>
        <v/>
      </c>
      <c r="BK10" s="29">
        <f>IF(BK$4&lt;CONC_M1,0,IF(BK$4&lt;=CONC_M2,CONC_V1+(CONC_V2-CONC_V1)*(BK$4-CONC_M1)/(CONC_M2-CONC_M1),IF(BK$4&lt;=CONC_M3,CONC_V2+(CONC_V3-CONC_V2)*(BK$4-CONC_M2)/(CONC_M3-CONC_M2),CONC_V3)))</f>
        <v/>
      </c>
    </row>
    <row r="11">
      <c r="A11" s="14" t="inlineStr">
        <is>
          <t>Virtual consultations</t>
        </is>
      </c>
      <c r="B11" s="3" t="inlineStr">
        <is>
          <t>a month</t>
        </is>
      </c>
      <c r="C11" s="2" t="n"/>
      <c r="D11" s="29">
        <f>IF(D$4&lt;CONS_M1,0,IF(D$4&lt;=CONS_M2,CONS_V1+(CONS_V2-CONS_V1)*(D$4-CONS_M1)/(CONS_M2-CONS_M1),IF(D$4&lt;=CONS_M3,CONS_V2+(CONS_V3-CONS_V2)*(D$4-CONS_M2)/(CONS_M3-CONS_M2),CONS_V3)))</f>
        <v/>
      </c>
      <c r="E11" s="29">
        <f>IF(E$4&lt;CONS_M1,0,IF(E$4&lt;=CONS_M2,CONS_V1+(CONS_V2-CONS_V1)*(E$4-CONS_M1)/(CONS_M2-CONS_M1),IF(E$4&lt;=CONS_M3,CONS_V2+(CONS_V3-CONS_V2)*(E$4-CONS_M2)/(CONS_M3-CONS_M2),CONS_V3)))</f>
        <v/>
      </c>
      <c r="F11" s="29">
        <f>IF(F$4&lt;CONS_M1,0,IF(F$4&lt;=CONS_M2,CONS_V1+(CONS_V2-CONS_V1)*(F$4-CONS_M1)/(CONS_M2-CONS_M1),IF(F$4&lt;=CONS_M3,CONS_V2+(CONS_V3-CONS_V2)*(F$4-CONS_M2)/(CONS_M3-CONS_M2),CONS_V3)))</f>
        <v/>
      </c>
      <c r="G11" s="29">
        <f>IF(G$4&lt;CONS_M1,0,IF(G$4&lt;=CONS_M2,CONS_V1+(CONS_V2-CONS_V1)*(G$4-CONS_M1)/(CONS_M2-CONS_M1),IF(G$4&lt;=CONS_M3,CONS_V2+(CONS_V3-CONS_V2)*(G$4-CONS_M2)/(CONS_M3-CONS_M2),CONS_V3)))</f>
        <v/>
      </c>
      <c r="H11" s="29">
        <f>IF(H$4&lt;CONS_M1,0,IF(H$4&lt;=CONS_M2,CONS_V1+(CONS_V2-CONS_V1)*(H$4-CONS_M1)/(CONS_M2-CONS_M1),IF(H$4&lt;=CONS_M3,CONS_V2+(CONS_V3-CONS_V2)*(H$4-CONS_M2)/(CONS_M3-CONS_M2),CONS_V3)))</f>
        <v/>
      </c>
      <c r="I11" s="29">
        <f>IF(I$4&lt;CONS_M1,0,IF(I$4&lt;=CONS_M2,CONS_V1+(CONS_V2-CONS_V1)*(I$4-CONS_M1)/(CONS_M2-CONS_M1),IF(I$4&lt;=CONS_M3,CONS_V2+(CONS_V3-CONS_V2)*(I$4-CONS_M2)/(CONS_M3-CONS_M2),CONS_V3)))</f>
        <v/>
      </c>
      <c r="J11" s="29">
        <f>IF(J$4&lt;CONS_M1,0,IF(J$4&lt;=CONS_M2,CONS_V1+(CONS_V2-CONS_V1)*(J$4-CONS_M1)/(CONS_M2-CONS_M1),IF(J$4&lt;=CONS_M3,CONS_V2+(CONS_V3-CONS_V2)*(J$4-CONS_M2)/(CONS_M3-CONS_M2),CONS_V3)))</f>
        <v/>
      </c>
      <c r="K11" s="29">
        <f>IF(K$4&lt;CONS_M1,0,IF(K$4&lt;=CONS_M2,CONS_V1+(CONS_V2-CONS_V1)*(K$4-CONS_M1)/(CONS_M2-CONS_M1),IF(K$4&lt;=CONS_M3,CONS_V2+(CONS_V3-CONS_V2)*(K$4-CONS_M2)/(CONS_M3-CONS_M2),CONS_V3)))</f>
        <v/>
      </c>
      <c r="L11" s="29">
        <f>IF(L$4&lt;CONS_M1,0,IF(L$4&lt;=CONS_M2,CONS_V1+(CONS_V2-CONS_V1)*(L$4-CONS_M1)/(CONS_M2-CONS_M1),IF(L$4&lt;=CONS_M3,CONS_V2+(CONS_V3-CONS_V2)*(L$4-CONS_M2)/(CONS_M3-CONS_M2),CONS_V3)))</f>
        <v/>
      </c>
      <c r="M11" s="29">
        <f>IF(M$4&lt;CONS_M1,0,IF(M$4&lt;=CONS_M2,CONS_V1+(CONS_V2-CONS_V1)*(M$4-CONS_M1)/(CONS_M2-CONS_M1),IF(M$4&lt;=CONS_M3,CONS_V2+(CONS_V3-CONS_V2)*(M$4-CONS_M2)/(CONS_M3-CONS_M2),CONS_V3)))</f>
        <v/>
      </c>
      <c r="N11" s="29">
        <f>IF(N$4&lt;CONS_M1,0,IF(N$4&lt;=CONS_M2,CONS_V1+(CONS_V2-CONS_V1)*(N$4-CONS_M1)/(CONS_M2-CONS_M1),IF(N$4&lt;=CONS_M3,CONS_V2+(CONS_V3-CONS_V2)*(N$4-CONS_M2)/(CONS_M3-CONS_M2),CONS_V3)))</f>
        <v/>
      </c>
      <c r="O11" s="29">
        <f>IF(O$4&lt;CONS_M1,0,IF(O$4&lt;=CONS_M2,CONS_V1+(CONS_V2-CONS_V1)*(O$4-CONS_M1)/(CONS_M2-CONS_M1),IF(O$4&lt;=CONS_M3,CONS_V2+(CONS_V3-CONS_V2)*(O$4-CONS_M2)/(CONS_M3-CONS_M2),CONS_V3)))</f>
        <v/>
      </c>
      <c r="P11" s="29">
        <f>IF(P$4&lt;CONS_M1,0,IF(P$4&lt;=CONS_M2,CONS_V1+(CONS_V2-CONS_V1)*(P$4-CONS_M1)/(CONS_M2-CONS_M1),IF(P$4&lt;=CONS_M3,CONS_V2+(CONS_V3-CONS_V2)*(P$4-CONS_M2)/(CONS_M3-CONS_M2),CONS_V3)))</f>
        <v/>
      </c>
      <c r="Q11" s="29">
        <f>IF(Q$4&lt;CONS_M1,0,IF(Q$4&lt;=CONS_M2,CONS_V1+(CONS_V2-CONS_V1)*(Q$4-CONS_M1)/(CONS_M2-CONS_M1),IF(Q$4&lt;=CONS_M3,CONS_V2+(CONS_V3-CONS_V2)*(Q$4-CONS_M2)/(CONS_M3-CONS_M2),CONS_V3)))</f>
        <v/>
      </c>
      <c r="R11" s="29">
        <f>IF(R$4&lt;CONS_M1,0,IF(R$4&lt;=CONS_M2,CONS_V1+(CONS_V2-CONS_V1)*(R$4-CONS_M1)/(CONS_M2-CONS_M1),IF(R$4&lt;=CONS_M3,CONS_V2+(CONS_V3-CONS_V2)*(R$4-CONS_M2)/(CONS_M3-CONS_M2),CONS_V3)))</f>
        <v/>
      </c>
      <c r="S11" s="29">
        <f>IF(S$4&lt;CONS_M1,0,IF(S$4&lt;=CONS_M2,CONS_V1+(CONS_V2-CONS_V1)*(S$4-CONS_M1)/(CONS_M2-CONS_M1),IF(S$4&lt;=CONS_M3,CONS_V2+(CONS_V3-CONS_V2)*(S$4-CONS_M2)/(CONS_M3-CONS_M2),CONS_V3)))</f>
        <v/>
      </c>
      <c r="T11" s="29">
        <f>IF(T$4&lt;CONS_M1,0,IF(T$4&lt;=CONS_M2,CONS_V1+(CONS_V2-CONS_V1)*(T$4-CONS_M1)/(CONS_M2-CONS_M1),IF(T$4&lt;=CONS_M3,CONS_V2+(CONS_V3-CONS_V2)*(T$4-CONS_M2)/(CONS_M3-CONS_M2),CONS_V3)))</f>
        <v/>
      </c>
      <c r="U11" s="29">
        <f>IF(U$4&lt;CONS_M1,0,IF(U$4&lt;=CONS_M2,CONS_V1+(CONS_V2-CONS_V1)*(U$4-CONS_M1)/(CONS_M2-CONS_M1),IF(U$4&lt;=CONS_M3,CONS_V2+(CONS_V3-CONS_V2)*(U$4-CONS_M2)/(CONS_M3-CONS_M2),CONS_V3)))</f>
        <v/>
      </c>
      <c r="V11" s="29">
        <f>IF(V$4&lt;CONS_M1,0,IF(V$4&lt;=CONS_M2,CONS_V1+(CONS_V2-CONS_V1)*(V$4-CONS_M1)/(CONS_M2-CONS_M1),IF(V$4&lt;=CONS_M3,CONS_V2+(CONS_V3-CONS_V2)*(V$4-CONS_M2)/(CONS_M3-CONS_M2),CONS_V3)))</f>
        <v/>
      </c>
      <c r="W11" s="29">
        <f>IF(W$4&lt;CONS_M1,0,IF(W$4&lt;=CONS_M2,CONS_V1+(CONS_V2-CONS_V1)*(W$4-CONS_M1)/(CONS_M2-CONS_M1),IF(W$4&lt;=CONS_M3,CONS_V2+(CONS_V3-CONS_V2)*(W$4-CONS_M2)/(CONS_M3-CONS_M2),CONS_V3)))</f>
        <v/>
      </c>
      <c r="X11" s="29">
        <f>IF(X$4&lt;CONS_M1,0,IF(X$4&lt;=CONS_M2,CONS_V1+(CONS_V2-CONS_V1)*(X$4-CONS_M1)/(CONS_M2-CONS_M1),IF(X$4&lt;=CONS_M3,CONS_V2+(CONS_V3-CONS_V2)*(X$4-CONS_M2)/(CONS_M3-CONS_M2),CONS_V3)))</f>
        <v/>
      </c>
      <c r="Y11" s="29">
        <f>IF(Y$4&lt;CONS_M1,0,IF(Y$4&lt;=CONS_M2,CONS_V1+(CONS_V2-CONS_V1)*(Y$4-CONS_M1)/(CONS_M2-CONS_M1),IF(Y$4&lt;=CONS_M3,CONS_V2+(CONS_V3-CONS_V2)*(Y$4-CONS_M2)/(CONS_M3-CONS_M2),CONS_V3)))</f>
        <v/>
      </c>
      <c r="Z11" s="29">
        <f>IF(Z$4&lt;CONS_M1,0,IF(Z$4&lt;=CONS_M2,CONS_V1+(CONS_V2-CONS_V1)*(Z$4-CONS_M1)/(CONS_M2-CONS_M1),IF(Z$4&lt;=CONS_M3,CONS_V2+(CONS_V3-CONS_V2)*(Z$4-CONS_M2)/(CONS_M3-CONS_M2),CONS_V3)))</f>
        <v/>
      </c>
      <c r="AA11" s="29">
        <f>IF(AA$4&lt;CONS_M1,0,IF(AA$4&lt;=CONS_M2,CONS_V1+(CONS_V2-CONS_V1)*(AA$4-CONS_M1)/(CONS_M2-CONS_M1),IF(AA$4&lt;=CONS_M3,CONS_V2+(CONS_V3-CONS_V2)*(AA$4-CONS_M2)/(CONS_M3-CONS_M2),CONS_V3)))</f>
        <v/>
      </c>
      <c r="AB11" s="29">
        <f>IF(AB$4&lt;CONS_M1,0,IF(AB$4&lt;=CONS_M2,CONS_V1+(CONS_V2-CONS_V1)*(AB$4-CONS_M1)/(CONS_M2-CONS_M1),IF(AB$4&lt;=CONS_M3,CONS_V2+(CONS_V3-CONS_V2)*(AB$4-CONS_M2)/(CONS_M3-CONS_M2),CONS_V3)))</f>
        <v/>
      </c>
      <c r="AC11" s="29">
        <f>IF(AC$4&lt;CONS_M1,0,IF(AC$4&lt;=CONS_M2,CONS_V1+(CONS_V2-CONS_V1)*(AC$4-CONS_M1)/(CONS_M2-CONS_M1),IF(AC$4&lt;=CONS_M3,CONS_V2+(CONS_V3-CONS_V2)*(AC$4-CONS_M2)/(CONS_M3-CONS_M2),CONS_V3)))</f>
        <v/>
      </c>
      <c r="AD11" s="29">
        <f>IF(AD$4&lt;CONS_M1,0,IF(AD$4&lt;=CONS_M2,CONS_V1+(CONS_V2-CONS_V1)*(AD$4-CONS_M1)/(CONS_M2-CONS_M1),IF(AD$4&lt;=CONS_M3,CONS_V2+(CONS_V3-CONS_V2)*(AD$4-CONS_M2)/(CONS_M3-CONS_M2),CONS_V3)))</f>
        <v/>
      </c>
      <c r="AE11" s="29">
        <f>IF(AE$4&lt;CONS_M1,0,IF(AE$4&lt;=CONS_M2,CONS_V1+(CONS_V2-CONS_V1)*(AE$4-CONS_M1)/(CONS_M2-CONS_M1),IF(AE$4&lt;=CONS_M3,CONS_V2+(CONS_V3-CONS_V2)*(AE$4-CONS_M2)/(CONS_M3-CONS_M2),CONS_V3)))</f>
        <v/>
      </c>
      <c r="AF11" s="29">
        <f>IF(AF$4&lt;CONS_M1,0,IF(AF$4&lt;=CONS_M2,CONS_V1+(CONS_V2-CONS_V1)*(AF$4-CONS_M1)/(CONS_M2-CONS_M1),IF(AF$4&lt;=CONS_M3,CONS_V2+(CONS_V3-CONS_V2)*(AF$4-CONS_M2)/(CONS_M3-CONS_M2),CONS_V3)))</f>
        <v/>
      </c>
      <c r="AG11" s="29">
        <f>IF(AG$4&lt;CONS_M1,0,IF(AG$4&lt;=CONS_M2,CONS_V1+(CONS_V2-CONS_V1)*(AG$4-CONS_M1)/(CONS_M2-CONS_M1),IF(AG$4&lt;=CONS_M3,CONS_V2+(CONS_V3-CONS_V2)*(AG$4-CONS_M2)/(CONS_M3-CONS_M2),CONS_V3)))</f>
        <v/>
      </c>
      <c r="AH11" s="29">
        <f>IF(AH$4&lt;CONS_M1,0,IF(AH$4&lt;=CONS_M2,CONS_V1+(CONS_V2-CONS_V1)*(AH$4-CONS_M1)/(CONS_M2-CONS_M1),IF(AH$4&lt;=CONS_M3,CONS_V2+(CONS_V3-CONS_V2)*(AH$4-CONS_M2)/(CONS_M3-CONS_M2),CONS_V3)))</f>
        <v/>
      </c>
      <c r="AI11" s="29">
        <f>IF(AI$4&lt;CONS_M1,0,IF(AI$4&lt;=CONS_M2,CONS_V1+(CONS_V2-CONS_V1)*(AI$4-CONS_M1)/(CONS_M2-CONS_M1),IF(AI$4&lt;=CONS_M3,CONS_V2+(CONS_V3-CONS_V2)*(AI$4-CONS_M2)/(CONS_M3-CONS_M2),CONS_V3)))</f>
        <v/>
      </c>
      <c r="AJ11" s="29">
        <f>IF(AJ$4&lt;CONS_M1,0,IF(AJ$4&lt;=CONS_M2,CONS_V1+(CONS_V2-CONS_V1)*(AJ$4-CONS_M1)/(CONS_M2-CONS_M1),IF(AJ$4&lt;=CONS_M3,CONS_V2+(CONS_V3-CONS_V2)*(AJ$4-CONS_M2)/(CONS_M3-CONS_M2),CONS_V3)))</f>
        <v/>
      </c>
      <c r="AK11" s="29">
        <f>IF(AK$4&lt;CONS_M1,0,IF(AK$4&lt;=CONS_M2,CONS_V1+(CONS_V2-CONS_V1)*(AK$4-CONS_M1)/(CONS_M2-CONS_M1),IF(AK$4&lt;=CONS_M3,CONS_V2+(CONS_V3-CONS_V2)*(AK$4-CONS_M2)/(CONS_M3-CONS_M2),CONS_V3)))</f>
        <v/>
      </c>
      <c r="AL11" s="29">
        <f>IF(AL$4&lt;CONS_M1,0,IF(AL$4&lt;=CONS_M2,CONS_V1+(CONS_V2-CONS_V1)*(AL$4-CONS_M1)/(CONS_M2-CONS_M1),IF(AL$4&lt;=CONS_M3,CONS_V2+(CONS_V3-CONS_V2)*(AL$4-CONS_M2)/(CONS_M3-CONS_M2),CONS_V3)))</f>
        <v/>
      </c>
      <c r="AM11" s="29">
        <f>IF(AM$4&lt;CONS_M1,0,IF(AM$4&lt;=CONS_M2,CONS_V1+(CONS_V2-CONS_V1)*(AM$4-CONS_M1)/(CONS_M2-CONS_M1),IF(AM$4&lt;=CONS_M3,CONS_V2+(CONS_V3-CONS_V2)*(AM$4-CONS_M2)/(CONS_M3-CONS_M2),CONS_V3)))</f>
        <v/>
      </c>
      <c r="AN11" s="29">
        <f>IF(AN$4&lt;CONS_M1,0,IF(AN$4&lt;=CONS_M2,CONS_V1+(CONS_V2-CONS_V1)*(AN$4-CONS_M1)/(CONS_M2-CONS_M1),IF(AN$4&lt;=CONS_M3,CONS_V2+(CONS_V3-CONS_V2)*(AN$4-CONS_M2)/(CONS_M3-CONS_M2),CONS_V3)))</f>
        <v/>
      </c>
      <c r="AO11" s="29">
        <f>IF(AO$4&lt;CONS_M1,0,IF(AO$4&lt;=CONS_M2,CONS_V1+(CONS_V2-CONS_V1)*(AO$4-CONS_M1)/(CONS_M2-CONS_M1),IF(AO$4&lt;=CONS_M3,CONS_V2+(CONS_V3-CONS_V2)*(AO$4-CONS_M2)/(CONS_M3-CONS_M2),CONS_V3)))</f>
        <v/>
      </c>
      <c r="AP11" s="29">
        <f>IF(AP$4&lt;CONS_M1,0,IF(AP$4&lt;=CONS_M2,CONS_V1+(CONS_V2-CONS_V1)*(AP$4-CONS_M1)/(CONS_M2-CONS_M1),IF(AP$4&lt;=CONS_M3,CONS_V2+(CONS_V3-CONS_V2)*(AP$4-CONS_M2)/(CONS_M3-CONS_M2),CONS_V3)))</f>
        <v/>
      </c>
      <c r="AQ11" s="29">
        <f>IF(AQ$4&lt;CONS_M1,0,IF(AQ$4&lt;=CONS_M2,CONS_V1+(CONS_V2-CONS_V1)*(AQ$4-CONS_M1)/(CONS_M2-CONS_M1),IF(AQ$4&lt;=CONS_M3,CONS_V2+(CONS_V3-CONS_V2)*(AQ$4-CONS_M2)/(CONS_M3-CONS_M2),CONS_V3)))</f>
        <v/>
      </c>
      <c r="AR11" s="29">
        <f>IF(AR$4&lt;CONS_M1,0,IF(AR$4&lt;=CONS_M2,CONS_V1+(CONS_V2-CONS_V1)*(AR$4-CONS_M1)/(CONS_M2-CONS_M1),IF(AR$4&lt;=CONS_M3,CONS_V2+(CONS_V3-CONS_V2)*(AR$4-CONS_M2)/(CONS_M3-CONS_M2),CONS_V3)))</f>
        <v/>
      </c>
      <c r="AS11" s="29">
        <f>IF(AS$4&lt;CONS_M1,0,IF(AS$4&lt;=CONS_M2,CONS_V1+(CONS_V2-CONS_V1)*(AS$4-CONS_M1)/(CONS_M2-CONS_M1),IF(AS$4&lt;=CONS_M3,CONS_V2+(CONS_V3-CONS_V2)*(AS$4-CONS_M2)/(CONS_M3-CONS_M2),CONS_V3)))</f>
        <v/>
      </c>
      <c r="AT11" s="29">
        <f>IF(AT$4&lt;CONS_M1,0,IF(AT$4&lt;=CONS_M2,CONS_V1+(CONS_V2-CONS_V1)*(AT$4-CONS_M1)/(CONS_M2-CONS_M1),IF(AT$4&lt;=CONS_M3,CONS_V2+(CONS_V3-CONS_V2)*(AT$4-CONS_M2)/(CONS_M3-CONS_M2),CONS_V3)))</f>
        <v/>
      </c>
      <c r="AU11" s="29">
        <f>IF(AU$4&lt;CONS_M1,0,IF(AU$4&lt;=CONS_M2,CONS_V1+(CONS_V2-CONS_V1)*(AU$4-CONS_M1)/(CONS_M2-CONS_M1),IF(AU$4&lt;=CONS_M3,CONS_V2+(CONS_V3-CONS_V2)*(AU$4-CONS_M2)/(CONS_M3-CONS_M2),CONS_V3)))</f>
        <v/>
      </c>
      <c r="AV11" s="29">
        <f>IF(AV$4&lt;CONS_M1,0,IF(AV$4&lt;=CONS_M2,CONS_V1+(CONS_V2-CONS_V1)*(AV$4-CONS_M1)/(CONS_M2-CONS_M1),IF(AV$4&lt;=CONS_M3,CONS_V2+(CONS_V3-CONS_V2)*(AV$4-CONS_M2)/(CONS_M3-CONS_M2),CONS_V3)))</f>
        <v/>
      </c>
      <c r="AW11" s="29">
        <f>IF(AW$4&lt;CONS_M1,0,IF(AW$4&lt;=CONS_M2,CONS_V1+(CONS_V2-CONS_V1)*(AW$4-CONS_M1)/(CONS_M2-CONS_M1),IF(AW$4&lt;=CONS_M3,CONS_V2+(CONS_V3-CONS_V2)*(AW$4-CONS_M2)/(CONS_M3-CONS_M2),CONS_V3)))</f>
        <v/>
      </c>
      <c r="AX11" s="29">
        <f>IF(AX$4&lt;CONS_M1,0,IF(AX$4&lt;=CONS_M2,CONS_V1+(CONS_V2-CONS_V1)*(AX$4-CONS_M1)/(CONS_M2-CONS_M1),IF(AX$4&lt;=CONS_M3,CONS_V2+(CONS_V3-CONS_V2)*(AX$4-CONS_M2)/(CONS_M3-CONS_M2),CONS_V3)))</f>
        <v/>
      </c>
      <c r="AY11" s="29">
        <f>IF(AY$4&lt;CONS_M1,0,IF(AY$4&lt;=CONS_M2,CONS_V1+(CONS_V2-CONS_V1)*(AY$4-CONS_M1)/(CONS_M2-CONS_M1),IF(AY$4&lt;=CONS_M3,CONS_V2+(CONS_V3-CONS_V2)*(AY$4-CONS_M2)/(CONS_M3-CONS_M2),CONS_V3)))</f>
        <v/>
      </c>
      <c r="AZ11" s="29">
        <f>IF(AZ$4&lt;CONS_M1,0,IF(AZ$4&lt;=CONS_M2,CONS_V1+(CONS_V2-CONS_V1)*(AZ$4-CONS_M1)/(CONS_M2-CONS_M1),IF(AZ$4&lt;=CONS_M3,CONS_V2+(CONS_V3-CONS_V2)*(AZ$4-CONS_M2)/(CONS_M3-CONS_M2),CONS_V3)))</f>
        <v/>
      </c>
      <c r="BA11" s="29">
        <f>IF(BA$4&lt;CONS_M1,0,IF(BA$4&lt;=CONS_M2,CONS_V1+(CONS_V2-CONS_V1)*(BA$4-CONS_M1)/(CONS_M2-CONS_M1),IF(BA$4&lt;=CONS_M3,CONS_V2+(CONS_V3-CONS_V2)*(BA$4-CONS_M2)/(CONS_M3-CONS_M2),CONS_V3)))</f>
        <v/>
      </c>
      <c r="BB11" s="29">
        <f>IF(BB$4&lt;CONS_M1,0,IF(BB$4&lt;=CONS_M2,CONS_V1+(CONS_V2-CONS_V1)*(BB$4-CONS_M1)/(CONS_M2-CONS_M1),IF(BB$4&lt;=CONS_M3,CONS_V2+(CONS_V3-CONS_V2)*(BB$4-CONS_M2)/(CONS_M3-CONS_M2),CONS_V3)))</f>
        <v/>
      </c>
      <c r="BC11" s="29">
        <f>IF(BC$4&lt;CONS_M1,0,IF(BC$4&lt;=CONS_M2,CONS_V1+(CONS_V2-CONS_V1)*(BC$4-CONS_M1)/(CONS_M2-CONS_M1),IF(BC$4&lt;=CONS_M3,CONS_V2+(CONS_V3-CONS_V2)*(BC$4-CONS_M2)/(CONS_M3-CONS_M2),CONS_V3)))</f>
        <v/>
      </c>
      <c r="BD11" s="29">
        <f>IF(BD$4&lt;CONS_M1,0,IF(BD$4&lt;=CONS_M2,CONS_V1+(CONS_V2-CONS_V1)*(BD$4-CONS_M1)/(CONS_M2-CONS_M1),IF(BD$4&lt;=CONS_M3,CONS_V2+(CONS_V3-CONS_V2)*(BD$4-CONS_M2)/(CONS_M3-CONS_M2),CONS_V3)))</f>
        <v/>
      </c>
      <c r="BE11" s="29">
        <f>IF(BE$4&lt;CONS_M1,0,IF(BE$4&lt;=CONS_M2,CONS_V1+(CONS_V2-CONS_V1)*(BE$4-CONS_M1)/(CONS_M2-CONS_M1),IF(BE$4&lt;=CONS_M3,CONS_V2+(CONS_V3-CONS_V2)*(BE$4-CONS_M2)/(CONS_M3-CONS_M2),CONS_V3)))</f>
        <v/>
      </c>
      <c r="BF11" s="29">
        <f>IF(BF$4&lt;CONS_M1,0,IF(BF$4&lt;=CONS_M2,CONS_V1+(CONS_V2-CONS_V1)*(BF$4-CONS_M1)/(CONS_M2-CONS_M1),IF(BF$4&lt;=CONS_M3,CONS_V2+(CONS_V3-CONS_V2)*(BF$4-CONS_M2)/(CONS_M3-CONS_M2),CONS_V3)))</f>
        <v/>
      </c>
      <c r="BG11" s="29">
        <f>IF(BG$4&lt;CONS_M1,0,IF(BG$4&lt;=CONS_M2,CONS_V1+(CONS_V2-CONS_V1)*(BG$4-CONS_M1)/(CONS_M2-CONS_M1),IF(BG$4&lt;=CONS_M3,CONS_V2+(CONS_V3-CONS_V2)*(BG$4-CONS_M2)/(CONS_M3-CONS_M2),CONS_V3)))</f>
        <v/>
      </c>
      <c r="BH11" s="29">
        <f>IF(BH$4&lt;CONS_M1,0,IF(BH$4&lt;=CONS_M2,CONS_V1+(CONS_V2-CONS_V1)*(BH$4-CONS_M1)/(CONS_M2-CONS_M1),IF(BH$4&lt;=CONS_M3,CONS_V2+(CONS_V3-CONS_V2)*(BH$4-CONS_M2)/(CONS_M3-CONS_M2),CONS_V3)))</f>
        <v/>
      </c>
      <c r="BI11" s="29">
        <f>IF(BI$4&lt;CONS_M1,0,IF(BI$4&lt;=CONS_M2,CONS_V1+(CONS_V2-CONS_V1)*(BI$4-CONS_M1)/(CONS_M2-CONS_M1),IF(BI$4&lt;=CONS_M3,CONS_V2+(CONS_V3-CONS_V2)*(BI$4-CONS_M2)/(CONS_M3-CONS_M2),CONS_V3)))</f>
        <v/>
      </c>
      <c r="BJ11" s="29">
        <f>IF(BJ$4&lt;CONS_M1,0,IF(BJ$4&lt;=CONS_M2,CONS_V1+(CONS_V2-CONS_V1)*(BJ$4-CONS_M1)/(CONS_M2-CONS_M1),IF(BJ$4&lt;=CONS_M3,CONS_V2+(CONS_V3-CONS_V2)*(BJ$4-CONS_M2)/(CONS_M3-CONS_M2),CONS_V3)))</f>
        <v/>
      </c>
      <c r="BK11" s="29">
        <f>IF(BK$4&lt;CONS_M1,0,IF(BK$4&lt;=CONS_M2,CONS_V1+(CONS_V2-CONS_V1)*(BK$4-CONS_M1)/(CONS_M2-CONS_M1),IF(BK$4&lt;=CONS_M3,CONS_V2+(CONS_V3-CONS_V2)*(BK$4-CONS_M2)/(CONS_M3-CONS_M2),CONS_V3)))</f>
        <v/>
      </c>
    </row>
    <row r="12">
      <c r="A12" s="14" t="inlineStr">
        <is>
          <t>Post-operative rehab packages begun</t>
        </is>
      </c>
      <c r="B12" s="3" t="inlineStr">
        <is>
          <t>a month</t>
        </is>
      </c>
      <c r="C12" s="2" t="n"/>
      <c r="D12" s="29">
        <f>IF(D$4&lt;REHAB_M1,0,IF(D$4&lt;=REHAB_M2,REHAB_V1+(REHAB_V2-REHAB_V1)*(D$4-REHAB_M1)/(REHAB_M2-REHAB_M1),IF(D$4&lt;=REHAB_M3,REHAB_V2+(REHAB_V3-REHAB_V2)*(D$4-REHAB_M2)/(REHAB_M3-REHAB_M2),REHAB_V3)))</f>
        <v/>
      </c>
      <c r="E12" s="29">
        <f>IF(E$4&lt;REHAB_M1,0,IF(E$4&lt;=REHAB_M2,REHAB_V1+(REHAB_V2-REHAB_V1)*(E$4-REHAB_M1)/(REHAB_M2-REHAB_M1),IF(E$4&lt;=REHAB_M3,REHAB_V2+(REHAB_V3-REHAB_V2)*(E$4-REHAB_M2)/(REHAB_M3-REHAB_M2),REHAB_V3)))</f>
        <v/>
      </c>
      <c r="F12" s="29">
        <f>IF(F$4&lt;REHAB_M1,0,IF(F$4&lt;=REHAB_M2,REHAB_V1+(REHAB_V2-REHAB_V1)*(F$4-REHAB_M1)/(REHAB_M2-REHAB_M1),IF(F$4&lt;=REHAB_M3,REHAB_V2+(REHAB_V3-REHAB_V2)*(F$4-REHAB_M2)/(REHAB_M3-REHAB_M2),REHAB_V3)))</f>
        <v/>
      </c>
      <c r="G12" s="29">
        <f>IF(G$4&lt;REHAB_M1,0,IF(G$4&lt;=REHAB_M2,REHAB_V1+(REHAB_V2-REHAB_V1)*(G$4-REHAB_M1)/(REHAB_M2-REHAB_M1),IF(G$4&lt;=REHAB_M3,REHAB_V2+(REHAB_V3-REHAB_V2)*(G$4-REHAB_M2)/(REHAB_M3-REHAB_M2),REHAB_V3)))</f>
        <v/>
      </c>
      <c r="H12" s="29">
        <f>IF(H$4&lt;REHAB_M1,0,IF(H$4&lt;=REHAB_M2,REHAB_V1+(REHAB_V2-REHAB_V1)*(H$4-REHAB_M1)/(REHAB_M2-REHAB_M1),IF(H$4&lt;=REHAB_M3,REHAB_V2+(REHAB_V3-REHAB_V2)*(H$4-REHAB_M2)/(REHAB_M3-REHAB_M2),REHAB_V3)))</f>
        <v/>
      </c>
      <c r="I12" s="29">
        <f>IF(I$4&lt;REHAB_M1,0,IF(I$4&lt;=REHAB_M2,REHAB_V1+(REHAB_V2-REHAB_V1)*(I$4-REHAB_M1)/(REHAB_M2-REHAB_M1),IF(I$4&lt;=REHAB_M3,REHAB_V2+(REHAB_V3-REHAB_V2)*(I$4-REHAB_M2)/(REHAB_M3-REHAB_M2),REHAB_V3)))</f>
        <v/>
      </c>
      <c r="J12" s="29">
        <f>IF(J$4&lt;REHAB_M1,0,IF(J$4&lt;=REHAB_M2,REHAB_V1+(REHAB_V2-REHAB_V1)*(J$4-REHAB_M1)/(REHAB_M2-REHAB_M1),IF(J$4&lt;=REHAB_M3,REHAB_V2+(REHAB_V3-REHAB_V2)*(J$4-REHAB_M2)/(REHAB_M3-REHAB_M2),REHAB_V3)))</f>
        <v/>
      </c>
      <c r="K12" s="29">
        <f>IF(K$4&lt;REHAB_M1,0,IF(K$4&lt;=REHAB_M2,REHAB_V1+(REHAB_V2-REHAB_V1)*(K$4-REHAB_M1)/(REHAB_M2-REHAB_M1),IF(K$4&lt;=REHAB_M3,REHAB_V2+(REHAB_V3-REHAB_V2)*(K$4-REHAB_M2)/(REHAB_M3-REHAB_M2),REHAB_V3)))</f>
        <v/>
      </c>
      <c r="L12" s="29">
        <f>IF(L$4&lt;REHAB_M1,0,IF(L$4&lt;=REHAB_M2,REHAB_V1+(REHAB_V2-REHAB_V1)*(L$4-REHAB_M1)/(REHAB_M2-REHAB_M1),IF(L$4&lt;=REHAB_M3,REHAB_V2+(REHAB_V3-REHAB_V2)*(L$4-REHAB_M2)/(REHAB_M3-REHAB_M2),REHAB_V3)))</f>
        <v/>
      </c>
      <c r="M12" s="29">
        <f>IF(M$4&lt;REHAB_M1,0,IF(M$4&lt;=REHAB_M2,REHAB_V1+(REHAB_V2-REHAB_V1)*(M$4-REHAB_M1)/(REHAB_M2-REHAB_M1),IF(M$4&lt;=REHAB_M3,REHAB_V2+(REHAB_V3-REHAB_V2)*(M$4-REHAB_M2)/(REHAB_M3-REHAB_M2),REHAB_V3)))</f>
        <v/>
      </c>
      <c r="N12" s="29">
        <f>IF(N$4&lt;REHAB_M1,0,IF(N$4&lt;=REHAB_M2,REHAB_V1+(REHAB_V2-REHAB_V1)*(N$4-REHAB_M1)/(REHAB_M2-REHAB_M1),IF(N$4&lt;=REHAB_M3,REHAB_V2+(REHAB_V3-REHAB_V2)*(N$4-REHAB_M2)/(REHAB_M3-REHAB_M2),REHAB_V3)))</f>
        <v/>
      </c>
      <c r="O12" s="29">
        <f>IF(O$4&lt;REHAB_M1,0,IF(O$4&lt;=REHAB_M2,REHAB_V1+(REHAB_V2-REHAB_V1)*(O$4-REHAB_M1)/(REHAB_M2-REHAB_M1),IF(O$4&lt;=REHAB_M3,REHAB_V2+(REHAB_V3-REHAB_V2)*(O$4-REHAB_M2)/(REHAB_M3-REHAB_M2),REHAB_V3)))</f>
        <v/>
      </c>
      <c r="P12" s="29">
        <f>IF(P$4&lt;REHAB_M1,0,IF(P$4&lt;=REHAB_M2,REHAB_V1+(REHAB_V2-REHAB_V1)*(P$4-REHAB_M1)/(REHAB_M2-REHAB_M1),IF(P$4&lt;=REHAB_M3,REHAB_V2+(REHAB_V3-REHAB_V2)*(P$4-REHAB_M2)/(REHAB_M3-REHAB_M2),REHAB_V3)))</f>
        <v/>
      </c>
      <c r="Q12" s="29">
        <f>IF(Q$4&lt;REHAB_M1,0,IF(Q$4&lt;=REHAB_M2,REHAB_V1+(REHAB_V2-REHAB_V1)*(Q$4-REHAB_M1)/(REHAB_M2-REHAB_M1),IF(Q$4&lt;=REHAB_M3,REHAB_V2+(REHAB_V3-REHAB_V2)*(Q$4-REHAB_M2)/(REHAB_M3-REHAB_M2),REHAB_V3)))</f>
        <v/>
      </c>
      <c r="R12" s="29">
        <f>IF(R$4&lt;REHAB_M1,0,IF(R$4&lt;=REHAB_M2,REHAB_V1+(REHAB_V2-REHAB_V1)*(R$4-REHAB_M1)/(REHAB_M2-REHAB_M1),IF(R$4&lt;=REHAB_M3,REHAB_V2+(REHAB_V3-REHAB_V2)*(R$4-REHAB_M2)/(REHAB_M3-REHAB_M2),REHAB_V3)))</f>
        <v/>
      </c>
      <c r="S12" s="29">
        <f>IF(S$4&lt;REHAB_M1,0,IF(S$4&lt;=REHAB_M2,REHAB_V1+(REHAB_V2-REHAB_V1)*(S$4-REHAB_M1)/(REHAB_M2-REHAB_M1),IF(S$4&lt;=REHAB_M3,REHAB_V2+(REHAB_V3-REHAB_V2)*(S$4-REHAB_M2)/(REHAB_M3-REHAB_M2),REHAB_V3)))</f>
        <v/>
      </c>
      <c r="T12" s="29">
        <f>IF(T$4&lt;REHAB_M1,0,IF(T$4&lt;=REHAB_M2,REHAB_V1+(REHAB_V2-REHAB_V1)*(T$4-REHAB_M1)/(REHAB_M2-REHAB_M1),IF(T$4&lt;=REHAB_M3,REHAB_V2+(REHAB_V3-REHAB_V2)*(T$4-REHAB_M2)/(REHAB_M3-REHAB_M2),REHAB_V3)))</f>
        <v/>
      </c>
      <c r="U12" s="29">
        <f>IF(U$4&lt;REHAB_M1,0,IF(U$4&lt;=REHAB_M2,REHAB_V1+(REHAB_V2-REHAB_V1)*(U$4-REHAB_M1)/(REHAB_M2-REHAB_M1),IF(U$4&lt;=REHAB_M3,REHAB_V2+(REHAB_V3-REHAB_V2)*(U$4-REHAB_M2)/(REHAB_M3-REHAB_M2),REHAB_V3)))</f>
        <v/>
      </c>
      <c r="V12" s="29">
        <f>IF(V$4&lt;REHAB_M1,0,IF(V$4&lt;=REHAB_M2,REHAB_V1+(REHAB_V2-REHAB_V1)*(V$4-REHAB_M1)/(REHAB_M2-REHAB_M1),IF(V$4&lt;=REHAB_M3,REHAB_V2+(REHAB_V3-REHAB_V2)*(V$4-REHAB_M2)/(REHAB_M3-REHAB_M2),REHAB_V3)))</f>
        <v/>
      </c>
      <c r="W12" s="29">
        <f>IF(W$4&lt;REHAB_M1,0,IF(W$4&lt;=REHAB_M2,REHAB_V1+(REHAB_V2-REHAB_V1)*(W$4-REHAB_M1)/(REHAB_M2-REHAB_M1),IF(W$4&lt;=REHAB_M3,REHAB_V2+(REHAB_V3-REHAB_V2)*(W$4-REHAB_M2)/(REHAB_M3-REHAB_M2),REHAB_V3)))</f>
        <v/>
      </c>
      <c r="X12" s="29">
        <f>IF(X$4&lt;REHAB_M1,0,IF(X$4&lt;=REHAB_M2,REHAB_V1+(REHAB_V2-REHAB_V1)*(X$4-REHAB_M1)/(REHAB_M2-REHAB_M1),IF(X$4&lt;=REHAB_M3,REHAB_V2+(REHAB_V3-REHAB_V2)*(X$4-REHAB_M2)/(REHAB_M3-REHAB_M2),REHAB_V3)))</f>
        <v/>
      </c>
      <c r="Y12" s="29">
        <f>IF(Y$4&lt;REHAB_M1,0,IF(Y$4&lt;=REHAB_M2,REHAB_V1+(REHAB_V2-REHAB_V1)*(Y$4-REHAB_M1)/(REHAB_M2-REHAB_M1),IF(Y$4&lt;=REHAB_M3,REHAB_V2+(REHAB_V3-REHAB_V2)*(Y$4-REHAB_M2)/(REHAB_M3-REHAB_M2),REHAB_V3)))</f>
        <v/>
      </c>
      <c r="Z12" s="29">
        <f>IF(Z$4&lt;REHAB_M1,0,IF(Z$4&lt;=REHAB_M2,REHAB_V1+(REHAB_V2-REHAB_V1)*(Z$4-REHAB_M1)/(REHAB_M2-REHAB_M1),IF(Z$4&lt;=REHAB_M3,REHAB_V2+(REHAB_V3-REHAB_V2)*(Z$4-REHAB_M2)/(REHAB_M3-REHAB_M2),REHAB_V3)))</f>
        <v/>
      </c>
      <c r="AA12" s="29">
        <f>IF(AA$4&lt;REHAB_M1,0,IF(AA$4&lt;=REHAB_M2,REHAB_V1+(REHAB_V2-REHAB_V1)*(AA$4-REHAB_M1)/(REHAB_M2-REHAB_M1),IF(AA$4&lt;=REHAB_M3,REHAB_V2+(REHAB_V3-REHAB_V2)*(AA$4-REHAB_M2)/(REHAB_M3-REHAB_M2),REHAB_V3)))</f>
        <v/>
      </c>
      <c r="AB12" s="29">
        <f>IF(AB$4&lt;REHAB_M1,0,IF(AB$4&lt;=REHAB_M2,REHAB_V1+(REHAB_V2-REHAB_V1)*(AB$4-REHAB_M1)/(REHAB_M2-REHAB_M1),IF(AB$4&lt;=REHAB_M3,REHAB_V2+(REHAB_V3-REHAB_V2)*(AB$4-REHAB_M2)/(REHAB_M3-REHAB_M2),REHAB_V3)))</f>
        <v/>
      </c>
      <c r="AC12" s="29">
        <f>IF(AC$4&lt;REHAB_M1,0,IF(AC$4&lt;=REHAB_M2,REHAB_V1+(REHAB_V2-REHAB_V1)*(AC$4-REHAB_M1)/(REHAB_M2-REHAB_M1),IF(AC$4&lt;=REHAB_M3,REHAB_V2+(REHAB_V3-REHAB_V2)*(AC$4-REHAB_M2)/(REHAB_M3-REHAB_M2),REHAB_V3)))</f>
        <v/>
      </c>
      <c r="AD12" s="29">
        <f>IF(AD$4&lt;REHAB_M1,0,IF(AD$4&lt;=REHAB_M2,REHAB_V1+(REHAB_V2-REHAB_V1)*(AD$4-REHAB_M1)/(REHAB_M2-REHAB_M1),IF(AD$4&lt;=REHAB_M3,REHAB_V2+(REHAB_V3-REHAB_V2)*(AD$4-REHAB_M2)/(REHAB_M3-REHAB_M2),REHAB_V3)))</f>
        <v/>
      </c>
      <c r="AE12" s="29">
        <f>IF(AE$4&lt;REHAB_M1,0,IF(AE$4&lt;=REHAB_M2,REHAB_V1+(REHAB_V2-REHAB_V1)*(AE$4-REHAB_M1)/(REHAB_M2-REHAB_M1),IF(AE$4&lt;=REHAB_M3,REHAB_V2+(REHAB_V3-REHAB_V2)*(AE$4-REHAB_M2)/(REHAB_M3-REHAB_M2),REHAB_V3)))</f>
        <v/>
      </c>
      <c r="AF12" s="29">
        <f>IF(AF$4&lt;REHAB_M1,0,IF(AF$4&lt;=REHAB_M2,REHAB_V1+(REHAB_V2-REHAB_V1)*(AF$4-REHAB_M1)/(REHAB_M2-REHAB_M1),IF(AF$4&lt;=REHAB_M3,REHAB_V2+(REHAB_V3-REHAB_V2)*(AF$4-REHAB_M2)/(REHAB_M3-REHAB_M2),REHAB_V3)))</f>
        <v/>
      </c>
      <c r="AG12" s="29">
        <f>IF(AG$4&lt;REHAB_M1,0,IF(AG$4&lt;=REHAB_M2,REHAB_V1+(REHAB_V2-REHAB_V1)*(AG$4-REHAB_M1)/(REHAB_M2-REHAB_M1),IF(AG$4&lt;=REHAB_M3,REHAB_V2+(REHAB_V3-REHAB_V2)*(AG$4-REHAB_M2)/(REHAB_M3-REHAB_M2),REHAB_V3)))</f>
        <v/>
      </c>
      <c r="AH12" s="29">
        <f>IF(AH$4&lt;REHAB_M1,0,IF(AH$4&lt;=REHAB_M2,REHAB_V1+(REHAB_V2-REHAB_V1)*(AH$4-REHAB_M1)/(REHAB_M2-REHAB_M1),IF(AH$4&lt;=REHAB_M3,REHAB_V2+(REHAB_V3-REHAB_V2)*(AH$4-REHAB_M2)/(REHAB_M3-REHAB_M2),REHAB_V3)))</f>
        <v/>
      </c>
      <c r="AI12" s="29">
        <f>IF(AI$4&lt;REHAB_M1,0,IF(AI$4&lt;=REHAB_M2,REHAB_V1+(REHAB_V2-REHAB_V1)*(AI$4-REHAB_M1)/(REHAB_M2-REHAB_M1),IF(AI$4&lt;=REHAB_M3,REHAB_V2+(REHAB_V3-REHAB_V2)*(AI$4-REHAB_M2)/(REHAB_M3-REHAB_M2),REHAB_V3)))</f>
        <v/>
      </c>
      <c r="AJ12" s="29">
        <f>IF(AJ$4&lt;REHAB_M1,0,IF(AJ$4&lt;=REHAB_M2,REHAB_V1+(REHAB_V2-REHAB_V1)*(AJ$4-REHAB_M1)/(REHAB_M2-REHAB_M1),IF(AJ$4&lt;=REHAB_M3,REHAB_V2+(REHAB_V3-REHAB_V2)*(AJ$4-REHAB_M2)/(REHAB_M3-REHAB_M2),REHAB_V3)))</f>
        <v/>
      </c>
      <c r="AK12" s="29">
        <f>IF(AK$4&lt;REHAB_M1,0,IF(AK$4&lt;=REHAB_M2,REHAB_V1+(REHAB_V2-REHAB_V1)*(AK$4-REHAB_M1)/(REHAB_M2-REHAB_M1),IF(AK$4&lt;=REHAB_M3,REHAB_V2+(REHAB_V3-REHAB_V2)*(AK$4-REHAB_M2)/(REHAB_M3-REHAB_M2),REHAB_V3)))</f>
        <v/>
      </c>
      <c r="AL12" s="29">
        <f>IF(AL$4&lt;REHAB_M1,0,IF(AL$4&lt;=REHAB_M2,REHAB_V1+(REHAB_V2-REHAB_V1)*(AL$4-REHAB_M1)/(REHAB_M2-REHAB_M1),IF(AL$4&lt;=REHAB_M3,REHAB_V2+(REHAB_V3-REHAB_V2)*(AL$4-REHAB_M2)/(REHAB_M3-REHAB_M2),REHAB_V3)))</f>
        <v/>
      </c>
      <c r="AM12" s="29">
        <f>IF(AM$4&lt;REHAB_M1,0,IF(AM$4&lt;=REHAB_M2,REHAB_V1+(REHAB_V2-REHAB_V1)*(AM$4-REHAB_M1)/(REHAB_M2-REHAB_M1),IF(AM$4&lt;=REHAB_M3,REHAB_V2+(REHAB_V3-REHAB_V2)*(AM$4-REHAB_M2)/(REHAB_M3-REHAB_M2),REHAB_V3)))</f>
        <v/>
      </c>
      <c r="AN12" s="29">
        <f>IF(AN$4&lt;REHAB_M1,0,IF(AN$4&lt;=REHAB_M2,REHAB_V1+(REHAB_V2-REHAB_V1)*(AN$4-REHAB_M1)/(REHAB_M2-REHAB_M1),IF(AN$4&lt;=REHAB_M3,REHAB_V2+(REHAB_V3-REHAB_V2)*(AN$4-REHAB_M2)/(REHAB_M3-REHAB_M2),REHAB_V3)))</f>
        <v/>
      </c>
      <c r="AO12" s="29">
        <f>IF(AO$4&lt;REHAB_M1,0,IF(AO$4&lt;=REHAB_M2,REHAB_V1+(REHAB_V2-REHAB_V1)*(AO$4-REHAB_M1)/(REHAB_M2-REHAB_M1),IF(AO$4&lt;=REHAB_M3,REHAB_V2+(REHAB_V3-REHAB_V2)*(AO$4-REHAB_M2)/(REHAB_M3-REHAB_M2),REHAB_V3)))</f>
        <v/>
      </c>
      <c r="AP12" s="29">
        <f>IF(AP$4&lt;REHAB_M1,0,IF(AP$4&lt;=REHAB_M2,REHAB_V1+(REHAB_V2-REHAB_V1)*(AP$4-REHAB_M1)/(REHAB_M2-REHAB_M1),IF(AP$4&lt;=REHAB_M3,REHAB_V2+(REHAB_V3-REHAB_V2)*(AP$4-REHAB_M2)/(REHAB_M3-REHAB_M2),REHAB_V3)))</f>
        <v/>
      </c>
      <c r="AQ12" s="29">
        <f>IF(AQ$4&lt;REHAB_M1,0,IF(AQ$4&lt;=REHAB_M2,REHAB_V1+(REHAB_V2-REHAB_V1)*(AQ$4-REHAB_M1)/(REHAB_M2-REHAB_M1),IF(AQ$4&lt;=REHAB_M3,REHAB_V2+(REHAB_V3-REHAB_V2)*(AQ$4-REHAB_M2)/(REHAB_M3-REHAB_M2),REHAB_V3)))</f>
        <v/>
      </c>
      <c r="AR12" s="29">
        <f>IF(AR$4&lt;REHAB_M1,0,IF(AR$4&lt;=REHAB_M2,REHAB_V1+(REHAB_V2-REHAB_V1)*(AR$4-REHAB_M1)/(REHAB_M2-REHAB_M1),IF(AR$4&lt;=REHAB_M3,REHAB_V2+(REHAB_V3-REHAB_V2)*(AR$4-REHAB_M2)/(REHAB_M3-REHAB_M2),REHAB_V3)))</f>
        <v/>
      </c>
      <c r="AS12" s="29">
        <f>IF(AS$4&lt;REHAB_M1,0,IF(AS$4&lt;=REHAB_M2,REHAB_V1+(REHAB_V2-REHAB_V1)*(AS$4-REHAB_M1)/(REHAB_M2-REHAB_M1),IF(AS$4&lt;=REHAB_M3,REHAB_V2+(REHAB_V3-REHAB_V2)*(AS$4-REHAB_M2)/(REHAB_M3-REHAB_M2),REHAB_V3)))</f>
        <v/>
      </c>
      <c r="AT12" s="29">
        <f>IF(AT$4&lt;REHAB_M1,0,IF(AT$4&lt;=REHAB_M2,REHAB_V1+(REHAB_V2-REHAB_V1)*(AT$4-REHAB_M1)/(REHAB_M2-REHAB_M1),IF(AT$4&lt;=REHAB_M3,REHAB_V2+(REHAB_V3-REHAB_V2)*(AT$4-REHAB_M2)/(REHAB_M3-REHAB_M2),REHAB_V3)))</f>
        <v/>
      </c>
      <c r="AU12" s="29">
        <f>IF(AU$4&lt;REHAB_M1,0,IF(AU$4&lt;=REHAB_M2,REHAB_V1+(REHAB_V2-REHAB_V1)*(AU$4-REHAB_M1)/(REHAB_M2-REHAB_M1),IF(AU$4&lt;=REHAB_M3,REHAB_V2+(REHAB_V3-REHAB_V2)*(AU$4-REHAB_M2)/(REHAB_M3-REHAB_M2),REHAB_V3)))</f>
        <v/>
      </c>
      <c r="AV12" s="29">
        <f>IF(AV$4&lt;REHAB_M1,0,IF(AV$4&lt;=REHAB_M2,REHAB_V1+(REHAB_V2-REHAB_V1)*(AV$4-REHAB_M1)/(REHAB_M2-REHAB_M1),IF(AV$4&lt;=REHAB_M3,REHAB_V2+(REHAB_V3-REHAB_V2)*(AV$4-REHAB_M2)/(REHAB_M3-REHAB_M2),REHAB_V3)))</f>
        <v/>
      </c>
      <c r="AW12" s="29">
        <f>IF(AW$4&lt;REHAB_M1,0,IF(AW$4&lt;=REHAB_M2,REHAB_V1+(REHAB_V2-REHAB_V1)*(AW$4-REHAB_M1)/(REHAB_M2-REHAB_M1),IF(AW$4&lt;=REHAB_M3,REHAB_V2+(REHAB_V3-REHAB_V2)*(AW$4-REHAB_M2)/(REHAB_M3-REHAB_M2),REHAB_V3)))</f>
        <v/>
      </c>
      <c r="AX12" s="29">
        <f>IF(AX$4&lt;REHAB_M1,0,IF(AX$4&lt;=REHAB_M2,REHAB_V1+(REHAB_V2-REHAB_V1)*(AX$4-REHAB_M1)/(REHAB_M2-REHAB_M1),IF(AX$4&lt;=REHAB_M3,REHAB_V2+(REHAB_V3-REHAB_V2)*(AX$4-REHAB_M2)/(REHAB_M3-REHAB_M2),REHAB_V3)))</f>
        <v/>
      </c>
      <c r="AY12" s="29">
        <f>IF(AY$4&lt;REHAB_M1,0,IF(AY$4&lt;=REHAB_M2,REHAB_V1+(REHAB_V2-REHAB_V1)*(AY$4-REHAB_M1)/(REHAB_M2-REHAB_M1),IF(AY$4&lt;=REHAB_M3,REHAB_V2+(REHAB_V3-REHAB_V2)*(AY$4-REHAB_M2)/(REHAB_M3-REHAB_M2),REHAB_V3)))</f>
        <v/>
      </c>
      <c r="AZ12" s="29">
        <f>IF(AZ$4&lt;REHAB_M1,0,IF(AZ$4&lt;=REHAB_M2,REHAB_V1+(REHAB_V2-REHAB_V1)*(AZ$4-REHAB_M1)/(REHAB_M2-REHAB_M1),IF(AZ$4&lt;=REHAB_M3,REHAB_V2+(REHAB_V3-REHAB_V2)*(AZ$4-REHAB_M2)/(REHAB_M3-REHAB_M2),REHAB_V3)))</f>
        <v/>
      </c>
      <c r="BA12" s="29">
        <f>IF(BA$4&lt;REHAB_M1,0,IF(BA$4&lt;=REHAB_M2,REHAB_V1+(REHAB_V2-REHAB_V1)*(BA$4-REHAB_M1)/(REHAB_M2-REHAB_M1),IF(BA$4&lt;=REHAB_M3,REHAB_V2+(REHAB_V3-REHAB_V2)*(BA$4-REHAB_M2)/(REHAB_M3-REHAB_M2),REHAB_V3)))</f>
        <v/>
      </c>
      <c r="BB12" s="29">
        <f>IF(BB$4&lt;REHAB_M1,0,IF(BB$4&lt;=REHAB_M2,REHAB_V1+(REHAB_V2-REHAB_V1)*(BB$4-REHAB_M1)/(REHAB_M2-REHAB_M1),IF(BB$4&lt;=REHAB_M3,REHAB_V2+(REHAB_V3-REHAB_V2)*(BB$4-REHAB_M2)/(REHAB_M3-REHAB_M2),REHAB_V3)))</f>
        <v/>
      </c>
      <c r="BC12" s="29">
        <f>IF(BC$4&lt;REHAB_M1,0,IF(BC$4&lt;=REHAB_M2,REHAB_V1+(REHAB_V2-REHAB_V1)*(BC$4-REHAB_M1)/(REHAB_M2-REHAB_M1),IF(BC$4&lt;=REHAB_M3,REHAB_V2+(REHAB_V3-REHAB_V2)*(BC$4-REHAB_M2)/(REHAB_M3-REHAB_M2),REHAB_V3)))</f>
        <v/>
      </c>
      <c r="BD12" s="29">
        <f>IF(BD$4&lt;REHAB_M1,0,IF(BD$4&lt;=REHAB_M2,REHAB_V1+(REHAB_V2-REHAB_V1)*(BD$4-REHAB_M1)/(REHAB_M2-REHAB_M1),IF(BD$4&lt;=REHAB_M3,REHAB_V2+(REHAB_V3-REHAB_V2)*(BD$4-REHAB_M2)/(REHAB_M3-REHAB_M2),REHAB_V3)))</f>
        <v/>
      </c>
      <c r="BE12" s="29">
        <f>IF(BE$4&lt;REHAB_M1,0,IF(BE$4&lt;=REHAB_M2,REHAB_V1+(REHAB_V2-REHAB_V1)*(BE$4-REHAB_M1)/(REHAB_M2-REHAB_M1),IF(BE$4&lt;=REHAB_M3,REHAB_V2+(REHAB_V3-REHAB_V2)*(BE$4-REHAB_M2)/(REHAB_M3-REHAB_M2),REHAB_V3)))</f>
        <v/>
      </c>
      <c r="BF12" s="29">
        <f>IF(BF$4&lt;REHAB_M1,0,IF(BF$4&lt;=REHAB_M2,REHAB_V1+(REHAB_V2-REHAB_V1)*(BF$4-REHAB_M1)/(REHAB_M2-REHAB_M1),IF(BF$4&lt;=REHAB_M3,REHAB_V2+(REHAB_V3-REHAB_V2)*(BF$4-REHAB_M2)/(REHAB_M3-REHAB_M2),REHAB_V3)))</f>
        <v/>
      </c>
      <c r="BG12" s="29">
        <f>IF(BG$4&lt;REHAB_M1,0,IF(BG$4&lt;=REHAB_M2,REHAB_V1+(REHAB_V2-REHAB_V1)*(BG$4-REHAB_M1)/(REHAB_M2-REHAB_M1),IF(BG$4&lt;=REHAB_M3,REHAB_V2+(REHAB_V3-REHAB_V2)*(BG$4-REHAB_M2)/(REHAB_M3-REHAB_M2),REHAB_V3)))</f>
        <v/>
      </c>
      <c r="BH12" s="29">
        <f>IF(BH$4&lt;REHAB_M1,0,IF(BH$4&lt;=REHAB_M2,REHAB_V1+(REHAB_V2-REHAB_V1)*(BH$4-REHAB_M1)/(REHAB_M2-REHAB_M1),IF(BH$4&lt;=REHAB_M3,REHAB_V2+(REHAB_V3-REHAB_V2)*(BH$4-REHAB_M2)/(REHAB_M3-REHAB_M2),REHAB_V3)))</f>
        <v/>
      </c>
      <c r="BI12" s="29">
        <f>IF(BI$4&lt;REHAB_M1,0,IF(BI$4&lt;=REHAB_M2,REHAB_V1+(REHAB_V2-REHAB_V1)*(BI$4-REHAB_M1)/(REHAB_M2-REHAB_M1),IF(BI$4&lt;=REHAB_M3,REHAB_V2+(REHAB_V3-REHAB_V2)*(BI$4-REHAB_M2)/(REHAB_M3-REHAB_M2),REHAB_V3)))</f>
        <v/>
      </c>
      <c r="BJ12" s="29">
        <f>IF(BJ$4&lt;REHAB_M1,0,IF(BJ$4&lt;=REHAB_M2,REHAB_V1+(REHAB_V2-REHAB_V1)*(BJ$4-REHAB_M1)/(REHAB_M2-REHAB_M1),IF(BJ$4&lt;=REHAB_M3,REHAB_V2+(REHAB_V3-REHAB_V2)*(BJ$4-REHAB_M2)/(REHAB_M3-REHAB_M2),REHAB_V3)))</f>
        <v/>
      </c>
      <c r="BK12" s="29">
        <f>IF(BK$4&lt;REHAB_M1,0,IF(BK$4&lt;=REHAB_M2,REHAB_V1+(REHAB_V2-REHAB_V1)*(BK$4-REHAB_M1)/(REHAB_M2-REHAB_M1),IF(BK$4&lt;=REHAB_M3,REHAB_V2+(REHAB_V3-REHAB_V2)*(BK$4-REHAB_M2)/(REHAB_M3-REHAB_M2),REHAB_V3)))</f>
        <v/>
      </c>
    </row>
    <row r="13">
      <c r="A13" s="14" t="inlineStr">
        <is>
          <t>Palliative patients at home</t>
        </is>
      </c>
      <c r="B13" s="3" t="inlineStr">
        <is>
          <t>patients</t>
        </is>
      </c>
      <c r="C13" s="2" t="n"/>
      <c r="D13" s="29">
        <f>IF(D$4&lt;PALLH_M1,0,IF(D$4&lt;=PALLH_M2,PALLH_V1+(PALLH_V2-PALLH_V1)*(D$4-PALLH_M1)/(PALLH_M2-PALLH_M1),IF(D$4&lt;=PALLH_M3,PALLH_V2+(PALLH_V3-PALLH_V2)*(D$4-PALLH_M2)/(PALLH_M3-PALLH_M2),PALLH_V3)))</f>
        <v/>
      </c>
      <c r="E13" s="29">
        <f>IF(E$4&lt;PALLH_M1,0,IF(E$4&lt;=PALLH_M2,PALLH_V1+(PALLH_V2-PALLH_V1)*(E$4-PALLH_M1)/(PALLH_M2-PALLH_M1),IF(E$4&lt;=PALLH_M3,PALLH_V2+(PALLH_V3-PALLH_V2)*(E$4-PALLH_M2)/(PALLH_M3-PALLH_M2),PALLH_V3)))</f>
        <v/>
      </c>
      <c r="F13" s="29">
        <f>IF(F$4&lt;PALLH_M1,0,IF(F$4&lt;=PALLH_M2,PALLH_V1+(PALLH_V2-PALLH_V1)*(F$4-PALLH_M1)/(PALLH_M2-PALLH_M1),IF(F$4&lt;=PALLH_M3,PALLH_V2+(PALLH_V3-PALLH_V2)*(F$4-PALLH_M2)/(PALLH_M3-PALLH_M2),PALLH_V3)))</f>
        <v/>
      </c>
      <c r="G13" s="29">
        <f>IF(G$4&lt;PALLH_M1,0,IF(G$4&lt;=PALLH_M2,PALLH_V1+(PALLH_V2-PALLH_V1)*(G$4-PALLH_M1)/(PALLH_M2-PALLH_M1),IF(G$4&lt;=PALLH_M3,PALLH_V2+(PALLH_V3-PALLH_V2)*(G$4-PALLH_M2)/(PALLH_M3-PALLH_M2),PALLH_V3)))</f>
        <v/>
      </c>
      <c r="H13" s="29">
        <f>IF(H$4&lt;PALLH_M1,0,IF(H$4&lt;=PALLH_M2,PALLH_V1+(PALLH_V2-PALLH_V1)*(H$4-PALLH_M1)/(PALLH_M2-PALLH_M1),IF(H$4&lt;=PALLH_M3,PALLH_V2+(PALLH_V3-PALLH_V2)*(H$4-PALLH_M2)/(PALLH_M3-PALLH_M2),PALLH_V3)))</f>
        <v/>
      </c>
      <c r="I13" s="29">
        <f>IF(I$4&lt;PALLH_M1,0,IF(I$4&lt;=PALLH_M2,PALLH_V1+(PALLH_V2-PALLH_V1)*(I$4-PALLH_M1)/(PALLH_M2-PALLH_M1),IF(I$4&lt;=PALLH_M3,PALLH_V2+(PALLH_V3-PALLH_V2)*(I$4-PALLH_M2)/(PALLH_M3-PALLH_M2),PALLH_V3)))</f>
        <v/>
      </c>
      <c r="J13" s="29">
        <f>IF(J$4&lt;PALLH_M1,0,IF(J$4&lt;=PALLH_M2,PALLH_V1+(PALLH_V2-PALLH_V1)*(J$4-PALLH_M1)/(PALLH_M2-PALLH_M1),IF(J$4&lt;=PALLH_M3,PALLH_V2+(PALLH_V3-PALLH_V2)*(J$4-PALLH_M2)/(PALLH_M3-PALLH_M2),PALLH_V3)))</f>
        <v/>
      </c>
      <c r="K13" s="29">
        <f>IF(K$4&lt;PALLH_M1,0,IF(K$4&lt;=PALLH_M2,PALLH_V1+(PALLH_V2-PALLH_V1)*(K$4-PALLH_M1)/(PALLH_M2-PALLH_M1),IF(K$4&lt;=PALLH_M3,PALLH_V2+(PALLH_V3-PALLH_V2)*(K$4-PALLH_M2)/(PALLH_M3-PALLH_M2),PALLH_V3)))</f>
        <v/>
      </c>
      <c r="L13" s="29">
        <f>IF(L$4&lt;PALLH_M1,0,IF(L$4&lt;=PALLH_M2,PALLH_V1+(PALLH_V2-PALLH_V1)*(L$4-PALLH_M1)/(PALLH_M2-PALLH_M1),IF(L$4&lt;=PALLH_M3,PALLH_V2+(PALLH_V3-PALLH_V2)*(L$4-PALLH_M2)/(PALLH_M3-PALLH_M2),PALLH_V3)))</f>
        <v/>
      </c>
      <c r="M13" s="29">
        <f>IF(M$4&lt;PALLH_M1,0,IF(M$4&lt;=PALLH_M2,PALLH_V1+(PALLH_V2-PALLH_V1)*(M$4-PALLH_M1)/(PALLH_M2-PALLH_M1),IF(M$4&lt;=PALLH_M3,PALLH_V2+(PALLH_V3-PALLH_V2)*(M$4-PALLH_M2)/(PALLH_M3-PALLH_M2),PALLH_V3)))</f>
        <v/>
      </c>
      <c r="N13" s="29">
        <f>IF(N$4&lt;PALLH_M1,0,IF(N$4&lt;=PALLH_M2,PALLH_V1+(PALLH_V2-PALLH_V1)*(N$4-PALLH_M1)/(PALLH_M2-PALLH_M1),IF(N$4&lt;=PALLH_M3,PALLH_V2+(PALLH_V3-PALLH_V2)*(N$4-PALLH_M2)/(PALLH_M3-PALLH_M2),PALLH_V3)))</f>
        <v/>
      </c>
      <c r="O13" s="29">
        <f>IF(O$4&lt;PALLH_M1,0,IF(O$4&lt;=PALLH_M2,PALLH_V1+(PALLH_V2-PALLH_V1)*(O$4-PALLH_M1)/(PALLH_M2-PALLH_M1),IF(O$4&lt;=PALLH_M3,PALLH_V2+(PALLH_V3-PALLH_V2)*(O$4-PALLH_M2)/(PALLH_M3-PALLH_M2),PALLH_V3)))</f>
        <v/>
      </c>
      <c r="P13" s="29">
        <f>IF(P$4&lt;PALLH_M1,0,IF(P$4&lt;=PALLH_M2,PALLH_V1+(PALLH_V2-PALLH_V1)*(P$4-PALLH_M1)/(PALLH_M2-PALLH_M1),IF(P$4&lt;=PALLH_M3,PALLH_V2+(PALLH_V3-PALLH_V2)*(P$4-PALLH_M2)/(PALLH_M3-PALLH_M2),PALLH_V3)))</f>
        <v/>
      </c>
      <c r="Q13" s="29">
        <f>IF(Q$4&lt;PALLH_M1,0,IF(Q$4&lt;=PALLH_M2,PALLH_V1+(PALLH_V2-PALLH_V1)*(Q$4-PALLH_M1)/(PALLH_M2-PALLH_M1),IF(Q$4&lt;=PALLH_M3,PALLH_V2+(PALLH_V3-PALLH_V2)*(Q$4-PALLH_M2)/(PALLH_M3-PALLH_M2),PALLH_V3)))</f>
        <v/>
      </c>
      <c r="R13" s="29">
        <f>IF(R$4&lt;PALLH_M1,0,IF(R$4&lt;=PALLH_M2,PALLH_V1+(PALLH_V2-PALLH_V1)*(R$4-PALLH_M1)/(PALLH_M2-PALLH_M1),IF(R$4&lt;=PALLH_M3,PALLH_V2+(PALLH_V3-PALLH_V2)*(R$4-PALLH_M2)/(PALLH_M3-PALLH_M2),PALLH_V3)))</f>
        <v/>
      </c>
      <c r="S13" s="29">
        <f>IF(S$4&lt;PALLH_M1,0,IF(S$4&lt;=PALLH_M2,PALLH_V1+(PALLH_V2-PALLH_V1)*(S$4-PALLH_M1)/(PALLH_M2-PALLH_M1),IF(S$4&lt;=PALLH_M3,PALLH_V2+(PALLH_V3-PALLH_V2)*(S$4-PALLH_M2)/(PALLH_M3-PALLH_M2),PALLH_V3)))</f>
        <v/>
      </c>
      <c r="T13" s="29">
        <f>IF(T$4&lt;PALLH_M1,0,IF(T$4&lt;=PALLH_M2,PALLH_V1+(PALLH_V2-PALLH_V1)*(T$4-PALLH_M1)/(PALLH_M2-PALLH_M1),IF(T$4&lt;=PALLH_M3,PALLH_V2+(PALLH_V3-PALLH_V2)*(T$4-PALLH_M2)/(PALLH_M3-PALLH_M2),PALLH_V3)))</f>
        <v/>
      </c>
      <c r="U13" s="29">
        <f>IF(U$4&lt;PALLH_M1,0,IF(U$4&lt;=PALLH_M2,PALLH_V1+(PALLH_V2-PALLH_V1)*(U$4-PALLH_M1)/(PALLH_M2-PALLH_M1),IF(U$4&lt;=PALLH_M3,PALLH_V2+(PALLH_V3-PALLH_V2)*(U$4-PALLH_M2)/(PALLH_M3-PALLH_M2),PALLH_V3)))</f>
        <v/>
      </c>
      <c r="V13" s="29">
        <f>IF(V$4&lt;PALLH_M1,0,IF(V$4&lt;=PALLH_M2,PALLH_V1+(PALLH_V2-PALLH_V1)*(V$4-PALLH_M1)/(PALLH_M2-PALLH_M1),IF(V$4&lt;=PALLH_M3,PALLH_V2+(PALLH_V3-PALLH_V2)*(V$4-PALLH_M2)/(PALLH_M3-PALLH_M2),PALLH_V3)))</f>
        <v/>
      </c>
      <c r="W13" s="29">
        <f>IF(W$4&lt;PALLH_M1,0,IF(W$4&lt;=PALLH_M2,PALLH_V1+(PALLH_V2-PALLH_V1)*(W$4-PALLH_M1)/(PALLH_M2-PALLH_M1),IF(W$4&lt;=PALLH_M3,PALLH_V2+(PALLH_V3-PALLH_V2)*(W$4-PALLH_M2)/(PALLH_M3-PALLH_M2),PALLH_V3)))</f>
        <v/>
      </c>
      <c r="X13" s="29">
        <f>IF(X$4&lt;PALLH_M1,0,IF(X$4&lt;=PALLH_M2,PALLH_V1+(PALLH_V2-PALLH_V1)*(X$4-PALLH_M1)/(PALLH_M2-PALLH_M1),IF(X$4&lt;=PALLH_M3,PALLH_V2+(PALLH_V3-PALLH_V2)*(X$4-PALLH_M2)/(PALLH_M3-PALLH_M2),PALLH_V3)))</f>
        <v/>
      </c>
      <c r="Y13" s="29">
        <f>IF(Y$4&lt;PALLH_M1,0,IF(Y$4&lt;=PALLH_M2,PALLH_V1+(PALLH_V2-PALLH_V1)*(Y$4-PALLH_M1)/(PALLH_M2-PALLH_M1),IF(Y$4&lt;=PALLH_M3,PALLH_V2+(PALLH_V3-PALLH_V2)*(Y$4-PALLH_M2)/(PALLH_M3-PALLH_M2),PALLH_V3)))</f>
        <v/>
      </c>
      <c r="Z13" s="29">
        <f>IF(Z$4&lt;PALLH_M1,0,IF(Z$4&lt;=PALLH_M2,PALLH_V1+(PALLH_V2-PALLH_V1)*(Z$4-PALLH_M1)/(PALLH_M2-PALLH_M1),IF(Z$4&lt;=PALLH_M3,PALLH_V2+(PALLH_V3-PALLH_V2)*(Z$4-PALLH_M2)/(PALLH_M3-PALLH_M2),PALLH_V3)))</f>
        <v/>
      </c>
      <c r="AA13" s="29">
        <f>IF(AA$4&lt;PALLH_M1,0,IF(AA$4&lt;=PALLH_M2,PALLH_V1+(PALLH_V2-PALLH_V1)*(AA$4-PALLH_M1)/(PALLH_M2-PALLH_M1),IF(AA$4&lt;=PALLH_M3,PALLH_V2+(PALLH_V3-PALLH_V2)*(AA$4-PALLH_M2)/(PALLH_M3-PALLH_M2),PALLH_V3)))</f>
        <v/>
      </c>
      <c r="AB13" s="29">
        <f>IF(AB$4&lt;PALLH_M1,0,IF(AB$4&lt;=PALLH_M2,PALLH_V1+(PALLH_V2-PALLH_V1)*(AB$4-PALLH_M1)/(PALLH_M2-PALLH_M1),IF(AB$4&lt;=PALLH_M3,PALLH_V2+(PALLH_V3-PALLH_V2)*(AB$4-PALLH_M2)/(PALLH_M3-PALLH_M2),PALLH_V3)))</f>
        <v/>
      </c>
      <c r="AC13" s="29">
        <f>IF(AC$4&lt;PALLH_M1,0,IF(AC$4&lt;=PALLH_M2,PALLH_V1+(PALLH_V2-PALLH_V1)*(AC$4-PALLH_M1)/(PALLH_M2-PALLH_M1),IF(AC$4&lt;=PALLH_M3,PALLH_V2+(PALLH_V3-PALLH_V2)*(AC$4-PALLH_M2)/(PALLH_M3-PALLH_M2),PALLH_V3)))</f>
        <v/>
      </c>
      <c r="AD13" s="29">
        <f>IF(AD$4&lt;PALLH_M1,0,IF(AD$4&lt;=PALLH_M2,PALLH_V1+(PALLH_V2-PALLH_V1)*(AD$4-PALLH_M1)/(PALLH_M2-PALLH_M1),IF(AD$4&lt;=PALLH_M3,PALLH_V2+(PALLH_V3-PALLH_V2)*(AD$4-PALLH_M2)/(PALLH_M3-PALLH_M2),PALLH_V3)))</f>
        <v/>
      </c>
      <c r="AE13" s="29">
        <f>IF(AE$4&lt;PALLH_M1,0,IF(AE$4&lt;=PALLH_M2,PALLH_V1+(PALLH_V2-PALLH_V1)*(AE$4-PALLH_M1)/(PALLH_M2-PALLH_M1),IF(AE$4&lt;=PALLH_M3,PALLH_V2+(PALLH_V3-PALLH_V2)*(AE$4-PALLH_M2)/(PALLH_M3-PALLH_M2),PALLH_V3)))</f>
        <v/>
      </c>
      <c r="AF13" s="29">
        <f>IF(AF$4&lt;PALLH_M1,0,IF(AF$4&lt;=PALLH_M2,PALLH_V1+(PALLH_V2-PALLH_V1)*(AF$4-PALLH_M1)/(PALLH_M2-PALLH_M1),IF(AF$4&lt;=PALLH_M3,PALLH_V2+(PALLH_V3-PALLH_V2)*(AF$4-PALLH_M2)/(PALLH_M3-PALLH_M2),PALLH_V3)))</f>
        <v/>
      </c>
      <c r="AG13" s="29">
        <f>IF(AG$4&lt;PALLH_M1,0,IF(AG$4&lt;=PALLH_M2,PALLH_V1+(PALLH_V2-PALLH_V1)*(AG$4-PALLH_M1)/(PALLH_M2-PALLH_M1),IF(AG$4&lt;=PALLH_M3,PALLH_V2+(PALLH_V3-PALLH_V2)*(AG$4-PALLH_M2)/(PALLH_M3-PALLH_M2),PALLH_V3)))</f>
        <v/>
      </c>
      <c r="AH13" s="29">
        <f>IF(AH$4&lt;PALLH_M1,0,IF(AH$4&lt;=PALLH_M2,PALLH_V1+(PALLH_V2-PALLH_V1)*(AH$4-PALLH_M1)/(PALLH_M2-PALLH_M1),IF(AH$4&lt;=PALLH_M3,PALLH_V2+(PALLH_V3-PALLH_V2)*(AH$4-PALLH_M2)/(PALLH_M3-PALLH_M2),PALLH_V3)))</f>
        <v/>
      </c>
      <c r="AI13" s="29">
        <f>IF(AI$4&lt;PALLH_M1,0,IF(AI$4&lt;=PALLH_M2,PALLH_V1+(PALLH_V2-PALLH_V1)*(AI$4-PALLH_M1)/(PALLH_M2-PALLH_M1),IF(AI$4&lt;=PALLH_M3,PALLH_V2+(PALLH_V3-PALLH_V2)*(AI$4-PALLH_M2)/(PALLH_M3-PALLH_M2),PALLH_V3)))</f>
        <v/>
      </c>
      <c r="AJ13" s="29">
        <f>IF(AJ$4&lt;PALLH_M1,0,IF(AJ$4&lt;=PALLH_M2,PALLH_V1+(PALLH_V2-PALLH_V1)*(AJ$4-PALLH_M1)/(PALLH_M2-PALLH_M1),IF(AJ$4&lt;=PALLH_M3,PALLH_V2+(PALLH_V3-PALLH_V2)*(AJ$4-PALLH_M2)/(PALLH_M3-PALLH_M2),PALLH_V3)))</f>
        <v/>
      </c>
      <c r="AK13" s="29">
        <f>IF(AK$4&lt;PALLH_M1,0,IF(AK$4&lt;=PALLH_M2,PALLH_V1+(PALLH_V2-PALLH_V1)*(AK$4-PALLH_M1)/(PALLH_M2-PALLH_M1),IF(AK$4&lt;=PALLH_M3,PALLH_V2+(PALLH_V3-PALLH_V2)*(AK$4-PALLH_M2)/(PALLH_M3-PALLH_M2),PALLH_V3)))</f>
        <v/>
      </c>
      <c r="AL13" s="29">
        <f>IF(AL$4&lt;PALLH_M1,0,IF(AL$4&lt;=PALLH_M2,PALLH_V1+(PALLH_V2-PALLH_V1)*(AL$4-PALLH_M1)/(PALLH_M2-PALLH_M1),IF(AL$4&lt;=PALLH_M3,PALLH_V2+(PALLH_V3-PALLH_V2)*(AL$4-PALLH_M2)/(PALLH_M3-PALLH_M2),PALLH_V3)))</f>
        <v/>
      </c>
      <c r="AM13" s="29">
        <f>IF(AM$4&lt;PALLH_M1,0,IF(AM$4&lt;=PALLH_M2,PALLH_V1+(PALLH_V2-PALLH_V1)*(AM$4-PALLH_M1)/(PALLH_M2-PALLH_M1),IF(AM$4&lt;=PALLH_M3,PALLH_V2+(PALLH_V3-PALLH_V2)*(AM$4-PALLH_M2)/(PALLH_M3-PALLH_M2),PALLH_V3)))</f>
        <v/>
      </c>
      <c r="AN13" s="29">
        <f>IF(AN$4&lt;PALLH_M1,0,IF(AN$4&lt;=PALLH_M2,PALLH_V1+(PALLH_V2-PALLH_V1)*(AN$4-PALLH_M1)/(PALLH_M2-PALLH_M1),IF(AN$4&lt;=PALLH_M3,PALLH_V2+(PALLH_V3-PALLH_V2)*(AN$4-PALLH_M2)/(PALLH_M3-PALLH_M2),PALLH_V3)))</f>
        <v/>
      </c>
      <c r="AO13" s="29">
        <f>IF(AO$4&lt;PALLH_M1,0,IF(AO$4&lt;=PALLH_M2,PALLH_V1+(PALLH_V2-PALLH_V1)*(AO$4-PALLH_M1)/(PALLH_M2-PALLH_M1),IF(AO$4&lt;=PALLH_M3,PALLH_V2+(PALLH_V3-PALLH_V2)*(AO$4-PALLH_M2)/(PALLH_M3-PALLH_M2),PALLH_V3)))</f>
        <v/>
      </c>
      <c r="AP13" s="29">
        <f>IF(AP$4&lt;PALLH_M1,0,IF(AP$4&lt;=PALLH_M2,PALLH_V1+(PALLH_V2-PALLH_V1)*(AP$4-PALLH_M1)/(PALLH_M2-PALLH_M1),IF(AP$4&lt;=PALLH_M3,PALLH_V2+(PALLH_V3-PALLH_V2)*(AP$4-PALLH_M2)/(PALLH_M3-PALLH_M2),PALLH_V3)))</f>
        <v/>
      </c>
      <c r="AQ13" s="29">
        <f>IF(AQ$4&lt;PALLH_M1,0,IF(AQ$4&lt;=PALLH_M2,PALLH_V1+(PALLH_V2-PALLH_V1)*(AQ$4-PALLH_M1)/(PALLH_M2-PALLH_M1),IF(AQ$4&lt;=PALLH_M3,PALLH_V2+(PALLH_V3-PALLH_V2)*(AQ$4-PALLH_M2)/(PALLH_M3-PALLH_M2),PALLH_V3)))</f>
        <v/>
      </c>
      <c r="AR13" s="29">
        <f>IF(AR$4&lt;PALLH_M1,0,IF(AR$4&lt;=PALLH_M2,PALLH_V1+(PALLH_V2-PALLH_V1)*(AR$4-PALLH_M1)/(PALLH_M2-PALLH_M1),IF(AR$4&lt;=PALLH_M3,PALLH_V2+(PALLH_V3-PALLH_V2)*(AR$4-PALLH_M2)/(PALLH_M3-PALLH_M2),PALLH_V3)))</f>
        <v/>
      </c>
      <c r="AS13" s="29">
        <f>IF(AS$4&lt;PALLH_M1,0,IF(AS$4&lt;=PALLH_M2,PALLH_V1+(PALLH_V2-PALLH_V1)*(AS$4-PALLH_M1)/(PALLH_M2-PALLH_M1),IF(AS$4&lt;=PALLH_M3,PALLH_V2+(PALLH_V3-PALLH_V2)*(AS$4-PALLH_M2)/(PALLH_M3-PALLH_M2),PALLH_V3)))</f>
        <v/>
      </c>
      <c r="AT13" s="29">
        <f>IF(AT$4&lt;PALLH_M1,0,IF(AT$4&lt;=PALLH_M2,PALLH_V1+(PALLH_V2-PALLH_V1)*(AT$4-PALLH_M1)/(PALLH_M2-PALLH_M1),IF(AT$4&lt;=PALLH_M3,PALLH_V2+(PALLH_V3-PALLH_V2)*(AT$4-PALLH_M2)/(PALLH_M3-PALLH_M2),PALLH_V3)))</f>
        <v/>
      </c>
      <c r="AU13" s="29">
        <f>IF(AU$4&lt;PALLH_M1,0,IF(AU$4&lt;=PALLH_M2,PALLH_V1+(PALLH_V2-PALLH_V1)*(AU$4-PALLH_M1)/(PALLH_M2-PALLH_M1),IF(AU$4&lt;=PALLH_M3,PALLH_V2+(PALLH_V3-PALLH_V2)*(AU$4-PALLH_M2)/(PALLH_M3-PALLH_M2),PALLH_V3)))</f>
        <v/>
      </c>
      <c r="AV13" s="29">
        <f>IF(AV$4&lt;PALLH_M1,0,IF(AV$4&lt;=PALLH_M2,PALLH_V1+(PALLH_V2-PALLH_V1)*(AV$4-PALLH_M1)/(PALLH_M2-PALLH_M1),IF(AV$4&lt;=PALLH_M3,PALLH_V2+(PALLH_V3-PALLH_V2)*(AV$4-PALLH_M2)/(PALLH_M3-PALLH_M2),PALLH_V3)))</f>
        <v/>
      </c>
      <c r="AW13" s="29">
        <f>IF(AW$4&lt;PALLH_M1,0,IF(AW$4&lt;=PALLH_M2,PALLH_V1+(PALLH_V2-PALLH_V1)*(AW$4-PALLH_M1)/(PALLH_M2-PALLH_M1),IF(AW$4&lt;=PALLH_M3,PALLH_V2+(PALLH_V3-PALLH_V2)*(AW$4-PALLH_M2)/(PALLH_M3-PALLH_M2),PALLH_V3)))</f>
        <v/>
      </c>
      <c r="AX13" s="29">
        <f>IF(AX$4&lt;PALLH_M1,0,IF(AX$4&lt;=PALLH_M2,PALLH_V1+(PALLH_V2-PALLH_V1)*(AX$4-PALLH_M1)/(PALLH_M2-PALLH_M1),IF(AX$4&lt;=PALLH_M3,PALLH_V2+(PALLH_V3-PALLH_V2)*(AX$4-PALLH_M2)/(PALLH_M3-PALLH_M2),PALLH_V3)))</f>
        <v/>
      </c>
      <c r="AY13" s="29">
        <f>IF(AY$4&lt;PALLH_M1,0,IF(AY$4&lt;=PALLH_M2,PALLH_V1+(PALLH_V2-PALLH_V1)*(AY$4-PALLH_M1)/(PALLH_M2-PALLH_M1),IF(AY$4&lt;=PALLH_M3,PALLH_V2+(PALLH_V3-PALLH_V2)*(AY$4-PALLH_M2)/(PALLH_M3-PALLH_M2),PALLH_V3)))</f>
        <v/>
      </c>
      <c r="AZ13" s="29">
        <f>IF(AZ$4&lt;PALLH_M1,0,IF(AZ$4&lt;=PALLH_M2,PALLH_V1+(PALLH_V2-PALLH_V1)*(AZ$4-PALLH_M1)/(PALLH_M2-PALLH_M1),IF(AZ$4&lt;=PALLH_M3,PALLH_V2+(PALLH_V3-PALLH_V2)*(AZ$4-PALLH_M2)/(PALLH_M3-PALLH_M2),PALLH_V3)))</f>
        <v/>
      </c>
      <c r="BA13" s="29">
        <f>IF(BA$4&lt;PALLH_M1,0,IF(BA$4&lt;=PALLH_M2,PALLH_V1+(PALLH_V2-PALLH_V1)*(BA$4-PALLH_M1)/(PALLH_M2-PALLH_M1),IF(BA$4&lt;=PALLH_M3,PALLH_V2+(PALLH_V3-PALLH_V2)*(BA$4-PALLH_M2)/(PALLH_M3-PALLH_M2),PALLH_V3)))</f>
        <v/>
      </c>
      <c r="BB13" s="29">
        <f>IF(BB$4&lt;PALLH_M1,0,IF(BB$4&lt;=PALLH_M2,PALLH_V1+(PALLH_V2-PALLH_V1)*(BB$4-PALLH_M1)/(PALLH_M2-PALLH_M1),IF(BB$4&lt;=PALLH_M3,PALLH_V2+(PALLH_V3-PALLH_V2)*(BB$4-PALLH_M2)/(PALLH_M3-PALLH_M2),PALLH_V3)))</f>
        <v/>
      </c>
      <c r="BC13" s="29">
        <f>IF(BC$4&lt;PALLH_M1,0,IF(BC$4&lt;=PALLH_M2,PALLH_V1+(PALLH_V2-PALLH_V1)*(BC$4-PALLH_M1)/(PALLH_M2-PALLH_M1),IF(BC$4&lt;=PALLH_M3,PALLH_V2+(PALLH_V3-PALLH_V2)*(BC$4-PALLH_M2)/(PALLH_M3-PALLH_M2),PALLH_V3)))</f>
        <v/>
      </c>
      <c r="BD13" s="29">
        <f>IF(BD$4&lt;PALLH_M1,0,IF(BD$4&lt;=PALLH_M2,PALLH_V1+(PALLH_V2-PALLH_V1)*(BD$4-PALLH_M1)/(PALLH_M2-PALLH_M1),IF(BD$4&lt;=PALLH_M3,PALLH_V2+(PALLH_V3-PALLH_V2)*(BD$4-PALLH_M2)/(PALLH_M3-PALLH_M2),PALLH_V3)))</f>
        <v/>
      </c>
      <c r="BE13" s="29">
        <f>IF(BE$4&lt;PALLH_M1,0,IF(BE$4&lt;=PALLH_M2,PALLH_V1+(PALLH_V2-PALLH_V1)*(BE$4-PALLH_M1)/(PALLH_M2-PALLH_M1),IF(BE$4&lt;=PALLH_M3,PALLH_V2+(PALLH_V3-PALLH_V2)*(BE$4-PALLH_M2)/(PALLH_M3-PALLH_M2),PALLH_V3)))</f>
        <v/>
      </c>
      <c r="BF13" s="29">
        <f>IF(BF$4&lt;PALLH_M1,0,IF(BF$4&lt;=PALLH_M2,PALLH_V1+(PALLH_V2-PALLH_V1)*(BF$4-PALLH_M1)/(PALLH_M2-PALLH_M1),IF(BF$4&lt;=PALLH_M3,PALLH_V2+(PALLH_V3-PALLH_V2)*(BF$4-PALLH_M2)/(PALLH_M3-PALLH_M2),PALLH_V3)))</f>
        <v/>
      </c>
      <c r="BG13" s="29">
        <f>IF(BG$4&lt;PALLH_M1,0,IF(BG$4&lt;=PALLH_M2,PALLH_V1+(PALLH_V2-PALLH_V1)*(BG$4-PALLH_M1)/(PALLH_M2-PALLH_M1),IF(BG$4&lt;=PALLH_M3,PALLH_V2+(PALLH_V3-PALLH_V2)*(BG$4-PALLH_M2)/(PALLH_M3-PALLH_M2),PALLH_V3)))</f>
        <v/>
      </c>
      <c r="BH13" s="29">
        <f>IF(BH$4&lt;PALLH_M1,0,IF(BH$4&lt;=PALLH_M2,PALLH_V1+(PALLH_V2-PALLH_V1)*(BH$4-PALLH_M1)/(PALLH_M2-PALLH_M1),IF(BH$4&lt;=PALLH_M3,PALLH_V2+(PALLH_V3-PALLH_V2)*(BH$4-PALLH_M2)/(PALLH_M3-PALLH_M2),PALLH_V3)))</f>
        <v/>
      </c>
      <c r="BI13" s="29">
        <f>IF(BI$4&lt;PALLH_M1,0,IF(BI$4&lt;=PALLH_M2,PALLH_V1+(PALLH_V2-PALLH_V1)*(BI$4-PALLH_M1)/(PALLH_M2-PALLH_M1),IF(BI$4&lt;=PALLH_M3,PALLH_V2+(PALLH_V3-PALLH_V2)*(BI$4-PALLH_M2)/(PALLH_M3-PALLH_M2),PALLH_V3)))</f>
        <v/>
      </c>
      <c r="BJ13" s="29">
        <f>IF(BJ$4&lt;PALLH_M1,0,IF(BJ$4&lt;=PALLH_M2,PALLH_V1+(PALLH_V2-PALLH_V1)*(BJ$4-PALLH_M1)/(PALLH_M2-PALLH_M1),IF(BJ$4&lt;=PALLH_M3,PALLH_V2+(PALLH_V3-PALLH_V2)*(BJ$4-PALLH_M2)/(PALLH_M3-PALLH_M2),PALLH_V3)))</f>
        <v/>
      </c>
      <c r="BK13" s="29">
        <f>IF(BK$4&lt;PALLH_M1,0,IF(BK$4&lt;=PALLH_M2,PALLH_V1+(PALLH_V2-PALLH_V1)*(BK$4-PALLH_M1)/(PALLH_M2-PALLH_M1),IF(BK$4&lt;=PALLH_M3,PALLH_V2+(PALLH_V3-PALLH_V2)*(BK$4-PALLH_M2)/(PALLH_M3-PALLH_M2),PALLH_V3)))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</row>
    <row r="15">
      <c r="A15" s="12" t="inlineStr">
        <is>
          <t>2. Residential care, occupied beds</t>
        </is>
      </c>
      <c r="B15" s="13" t="n"/>
      <c r="C15" s="1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</row>
    <row r="16">
      <c r="A16" s="14" t="inlineStr">
        <is>
          <t>Residence one, long-stay</t>
        </is>
      </c>
      <c r="B16" s="3" t="inlineStr">
        <is>
          <t>beds</t>
        </is>
      </c>
      <c r="C16" s="2" t="n"/>
      <c r="D16" s="29">
        <f>IF(D$4&gt;=RES1_EFF,MIN(RES_CAP,RES_OPEN_OCC+RES_STEP*RES_SPEED*(D$4-RES1_EFF)),0)</f>
        <v/>
      </c>
      <c r="E16" s="29">
        <f>IF(E$4&gt;=RES1_EFF,MIN(RES_CAP,RES_OPEN_OCC+RES_STEP*RES_SPEED*(E$4-RES1_EFF)),0)</f>
        <v/>
      </c>
      <c r="F16" s="29">
        <f>IF(F$4&gt;=RES1_EFF,MIN(RES_CAP,RES_OPEN_OCC+RES_STEP*RES_SPEED*(F$4-RES1_EFF)),0)</f>
        <v/>
      </c>
      <c r="G16" s="29">
        <f>IF(G$4&gt;=RES1_EFF,MIN(RES_CAP,RES_OPEN_OCC+RES_STEP*RES_SPEED*(G$4-RES1_EFF)),0)</f>
        <v/>
      </c>
      <c r="H16" s="29">
        <f>IF(H$4&gt;=RES1_EFF,MIN(RES_CAP,RES_OPEN_OCC+RES_STEP*RES_SPEED*(H$4-RES1_EFF)),0)</f>
        <v/>
      </c>
      <c r="I16" s="29">
        <f>IF(I$4&gt;=RES1_EFF,MIN(RES_CAP,RES_OPEN_OCC+RES_STEP*RES_SPEED*(I$4-RES1_EFF)),0)</f>
        <v/>
      </c>
      <c r="J16" s="29">
        <f>IF(J$4&gt;=RES1_EFF,MIN(RES_CAP,RES_OPEN_OCC+RES_STEP*RES_SPEED*(J$4-RES1_EFF)),0)</f>
        <v/>
      </c>
      <c r="K16" s="29">
        <f>IF(K$4&gt;=RES1_EFF,MIN(RES_CAP,RES_OPEN_OCC+RES_STEP*RES_SPEED*(K$4-RES1_EFF)),0)</f>
        <v/>
      </c>
      <c r="L16" s="29">
        <f>IF(L$4&gt;=RES1_EFF,MIN(RES_CAP,RES_OPEN_OCC+RES_STEP*RES_SPEED*(L$4-RES1_EFF)),0)</f>
        <v/>
      </c>
      <c r="M16" s="29">
        <f>IF(M$4&gt;=RES1_EFF,MIN(RES_CAP,RES_OPEN_OCC+RES_STEP*RES_SPEED*(M$4-RES1_EFF)),0)</f>
        <v/>
      </c>
      <c r="N16" s="29">
        <f>IF(N$4&gt;=RES1_EFF,MIN(RES_CAP,RES_OPEN_OCC+RES_STEP*RES_SPEED*(N$4-RES1_EFF)),0)</f>
        <v/>
      </c>
      <c r="O16" s="29">
        <f>IF(O$4&gt;=RES1_EFF,MIN(RES_CAP,RES_OPEN_OCC+RES_STEP*RES_SPEED*(O$4-RES1_EFF)),0)</f>
        <v/>
      </c>
      <c r="P16" s="29">
        <f>IF(P$4&gt;=RES1_EFF,MIN(RES_CAP,RES_OPEN_OCC+RES_STEP*RES_SPEED*(P$4-RES1_EFF)),0)</f>
        <v/>
      </c>
      <c r="Q16" s="29">
        <f>IF(Q$4&gt;=RES1_EFF,MIN(RES_CAP,RES_OPEN_OCC+RES_STEP*RES_SPEED*(Q$4-RES1_EFF)),0)</f>
        <v/>
      </c>
      <c r="R16" s="29">
        <f>IF(R$4&gt;=RES1_EFF,MIN(RES_CAP,RES_OPEN_OCC+RES_STEP*RES_SPEED*(R$4-RES1_EFF)),0)</f>
        <v/>
      </c>
      <c r="S16" s="29">
        <f>IF(S$4&gt;=RES1_EFF,MIN(RES_CAP,RES_OPEN_OCC+RES_STEP*RES_SPEED*(S$4-RES1_EFF)),0)</f>
        <v/>
      </c>
      <c r="T16" s="29">
        <f>IF(T$4&gt;=RES1_EFF,MIN(RES_CAP,RES_OPEN_OCC+RES_STEP*RES_SPEED*(T$4-RES1_EFF)),0)</f>
        <v/>
      </c>
      <c r="U16" s="29">
        <f>IF(U$4&gt;=RES1_EFF,MIN(RES_CAP,RES_OPEN_OCC+RES_STEP*RES_SPEED*(U$4-RES1_EFF)),0)</f>
        <v/>
      </c>
      <c r="V16" s="29">
        <f>IF(V$4&gt;=RES1_EFF,MIN(RES_CAP,RES_OPEN_OCC+RES_STEP*RES_SPEED*(V$4-RES1_EFF)),0)</f>
        <v/>
      </c>
      <c r="W16" s="29">
        <f>IF(W$4&gt;=RES1_EFF,MIN(RES_CAP,RES_OPEN_OCC+RES_STEP*RES_SPEED*(W$4-RES1_EFF)),0)</f>
        <v/>
      </c>
      <c r="X16" s="29">
        <f>IF(X$4&gt;=RES1_EFF,MIN(RES_CAP,RES_OPEN_OCC+RES_STEP*RES_SPEED*(X$4-RES1_EFF)),0)</f>
        <v/>
      </c>
      <c r="Y16" s="29">
        <f>IF(Y$4&gt;=RES1_EFF,MIN(RES_CAP,RES_OPEN_OCC+RES_STEP*RES_SPEED*(Y$4-RES1_EFF)),0)</f>
        <v/>
      </c>
      <c r="Z16" s="29">
        <f>IF(Z$4&gt;=RES1_EFF,MIN(RES_CAP,RES_OPEN_OCC+RES_STEP*RES_SPEED*(Z$4-RES1_EFF)),0)</f>
        <v/>
      </c>
      <c r="AA16" s="29">
        <f>IF(AA$4&gt;=RES1_EFF,MIN(RES_CAP,RES_OPEN_OCC+RES_STEP*RES_SPEED*(AA$4-RES1_EFF)),0)</f>
        <v/>
      </c>
      <c r="AB16" s="29">
        <f>IF(AB$4&gt;=RES1_EFF,MIN(RES_CAP,RES_OPEN_OCC+RES_STEP*RES_SPEED*(AB$4-RES1_EFF)),0)</f>
        <v/>
      </c>
      <c r="AC16" s="29">
        <f>IF(AC$4&gt;=RES1_EFF,MIN(RES_CAP,RES_OPEN_OCC+RES_STEP*RES_SPEED*(AC$4-RES1_EFF)),0)</f>
        <v/>
      </c>
      <c r="AD16" s="29">
        <f>IF(AD$4&gt;=RES1_EFF,MIN(RES_CAP,RES_OPEN_OCC+RES_STEP*RES_SPEED*(AD$4-RES1_EFF)),0)</f>
        <v/>
      </c>
      <c r="AE16" s="29">
        <f>IF(AE$4&gt;=RES1_EFF,MIN(RES_CAP,RES_OPEN_OCC+RES_STEP*RES_SPEED*(AE$4-RES1_EFF)),0)</f>
        <v/>
      </c>
      <c r="AF16" s="29">
        <f>IF(AF$4&gt;=RES1_EFF,MIN(RES_CAP,RES_OPEN_OCC+RES_STEP*RES_SPEED*(AF$4-RES1_EFF)),0)</f>
        <v/>
      </c>
      <c r="AG16" s="29">
        <f>IF(AG$4&gt;=RES1_EFF,MIN(RES_CAP,RES_OPEN_OCC+RES_STEP*RES_SPEED*(AG$4-RES1_EFF)),0)</f>
        <v/>
      </c>
      <c r="AH16" s="29">
        <f>IF(AH$4&gt;=RES1_EFF,MIN(RES_CAP,RES_OPEN_OCC+RES_STEP*RES_SPEED*(AH$4-RES1_EFF)),0)</f>
        <v/>
      </c>
      <c r="AI16" s="29">
        <f>IF(AI$4&gt;=RES1_EFF,MIN(RES_CAP,RES_OPEN_OCC+RES_STEP*RES_SPEED*(AI$4-RES1_EFF)),0)</f>
        <v/>
      </c>
      <c r="AJ16" s="29">
        <f>IF(AJ$4&gt;=RES1_EFF,MIN(RES_CAP,RES_OPEN_OCC+RES_STEP*RES_SPEED*(AJ$4-RES1_EFF)),0)</f>
        <v/>
      </c>
      <c r="AK16" s="29">
        <f>IF(AK$4&gt;=RES1_EFF,MIN(RES_CAP,RES_OPEN_OCC+RES_STEP*RES_SPEED*(AK$4-RES1_EFF)),0)</f>
        <v/>
      </c>
      <c r="AL16" s="29">
        <f>IF(AL$4&gt;=RES1_EFF,MIN(RES_CAP,RES_OPEN_OCC+RES_STEP*RES_SPEED*(AL$4-RES1_EFF)),0)</f>
        <v/>
      </c>
      <c r="AM16" s="29">
        <f>IF(AM$4&gt;=RES1_EFF,MIN(RES_CAP,RES_OPEN_OCC+RES_STEP*RES_SPEED*(AM$4-RES1_EFF)),0)</f>
        <v/>
      </c>
      <c r="AN16" s="29">
        <f>IF(AN$4&gt;=RES1_EFF,MIN(RES_CAP,RES_OPEN_OCC+RES_STEP*RES_SPEED*(AN$4-RES1_EFF)),0)</f>
        <v/>
      </c>
      <c r="AO16" s="29">
        <f>IF(AO$4&gt;=RES1_EFF,MIN(RES_CAP,RES_OPEN_OCC+RES_STEP*RES_SPEED*(AO$4-RES1_EFF)),0)</f>
        <v/>
      </c>
      <c r="AP16" s="29">
        <f>IF(AP$4&gt;=RES1_EFF,MIN(RES_CAP,RES_OPEN_OCC+RES_STEP*RES_SPEED*(AP$4-RES1_EFF)),0)</f>
        <v/>
      </c>
      <c r="AQ16" s="29">
        <f>IF(AQ$4&gt;=RES1_EFF,MIN(RES_CAP,RES_OPEN_OCC+RES_STEP*RES_SPEED*(AQ$4-RES1_EFF)),0)</f>
        <v/>
      </c>
      <c r="AR16" s="29">
        <f>IF(AR$4&gt;=RES1_EFF,MIN(RES_CAP,RES_OPEN_OCC+RES_STEP*RES_SPEED*(AR$4-RES1_EFF)),0)</f>
        <v/>
      </c>
      <c r="AS16" s="29">
        <f>IF(AS$4&gt;=RES1_EFF,MIN(RES_CAP,RES_OPEN_OCC+RES_STEP*RES_SPEED*(AS$4-RES1_EFF)),0)</f>
        <v/>
      </c>
      <c r="AT16" s="29">
        <f>IF(AT$4&gt;=RES1_EFF,MIN(RES_CAP,RES_OPEN_OCC+RES_STEP*RES_SPEED*(AT$4-RES1_EFF)),0)</f>
        <v/>
      </c>
      <c r="AU16" s="29">
        <f>IF(AU$4&gt;=RES1_EFF,MIN(RES_CAP,RES_OPEN_OCC+RES_STEP*RES_SPEED*(AU$4-RES1_EFF)),0)</f>
        <v/>
      </c>
      <c r="AV16" s="29">
        <f>IF(AV$4&gt;=RES1_EFF,MIN(RES_CAP,RES_OPEN_OCC+RES_STEP*RES_SPEED*(AV$4-RES1_EFF)),0)</f>
        <v/>
      </c>
      <c r="AW16" s="29">
        <f>IF(AW$4&gt;=RES1_EFF,MIN(RES_CAP,RES_OPEN_OCC+RES_STEP*RES_SPEED*(AW$4-RES1_EFF)),0)</f>
        <v/>
      </c>
      <c r="AX16" s="29">
        <f>IF(AX$4&gt;=RES1_EFF,MIN(RES_CAP,RES_OPEN_OCC+RES_STEP*RES_SPEED*(AX$4-RES1_EFF)),0)</f>
        <v/>
      </c>
      <c r="AY16" s="29">
        <f>IF(AY$4&gt;=RES1_EFF,MIN(RES_CAP,RES_OPEN_OCC+RES_STEP*RES_SPEED*(AY$4-RES1_EFF)),0)</f>
        <v/>
      </c>
      <c r="AZ16" s="29">
        <f>IF(AZ$4&gt;=RES1_EFF,MIN(RES_CAP,RES_OPEN_OCC+RES_STEP*RES_SPEED*(AZ$4-RES1_EFF)),0)</f>
        <v/>
      </c>
      <c r="BA16" s="29">
        <f>IF(BA$4&gt;=RES1_EFF,MIN(RES_CAP,RES_OPEN_OCC+RES_STEP*RES_SPEED*(BA$4-RES1_EFF)),0)</f>
        <v/>
      </c>
      <c r="BB16" s="29">
        <f>IF(BB$4&gt;=RES1_EFF,MIN(RES_CAP,RES_OPEN_OCC+RES_STEP*RES_SPEED*(BB$4-RES1_EFF)),0)</f>
        <v/>
      </c>
      <c r="BC16" s="29">
        <f>IF(BC$4&gt;=RES1_EFF,MIN(RES_CAP,RES_OPEN_OCC+RES_STEP*RES_SPEED*(BC$4-RES1_EFF)),0)</f>
        <v/>
      </c>
      <c r="BD16" s="29">
        <f>IF(BD$4&gt;=RES1_EFF,MIN(RES_CAP,RES_OPEN_OCC+RES_STEP*RES_SPEED*(BD$4-RES1_EFF)),0)</f>
        <v/>
      </c>
      <c r="BE16" s="29">
        <f>IF(BE$4&gt;=RES1_EFF,MIN(RES_CAP,RES_OPEN_OCC+RES_STEP*RES_SPEED*(BE$4-RES1_EFF)),0)</f>
        <v/>
      </c>
      <c r="BF16" s="29">
        <f>IF(BF$4&gt;=RES1_EFF,MIN(RES_CAP,RES_OPEN_OCC+RES_STEP*RES_SPEED*(BF$4-RES1_EFF)),0)</f>
        <v/>
      </c>
      <c r="BG16" s="29">
        <f>IF(BG$4&gt;=RES1_EFF,MIN(RES_CAP,RES_OPEN_OCC+RES_STEP*RES_SPEED*(BG$4-RES1_EFF)),0)</f>
        <v/>
      </c>
      <c r="BH16" s="29">
        <f>IF(BH$4&gt;=RES1_EFF,MIN(RES_CAP,RES_OPEN_OCC+RES_STEP*RES_SPEED*(BH$4-RES1_EFF)),0)</f>
        <v/>
      </c>
      <c r="BI16" s="29">
        <f>IF(BI$4&gt;=RES1_EFF,MIN(RES_CAP,RES_OPEN_OCC+RES_STEP*RES_SPEED*(BI$4-RES1_EFF)),0)</f>
        <v/>
      </c>
      <c r="BJ16" s="29">
        <f>IF(BJ$4&gt;=RES1_EFF,MIN(RES_CAP,RES_OPEN_OCC+RES_STEP*RES_SPEED*(BJ$4-RES1_EFF)),0)</f>
        <v/>
      </c>
      <c r="BK16" s="29">
        <f>IF(BK$4&gt;=RES1_EFF,MIN(RES_CAP,RES_OPEN_OCC+RES_STEP*RES_SPEED*(BK$4-RES1_EFF)),0)</f>
        <v/>
      </c>
    </row>
    <row r="17">
      <c r="A17" s="14" t="inlineStr">
        <is>
          <t>Residence one, step-down</t>
        </is>
      </c>
      <c r="B17" s="3" t="inlineStr">
        <is>
          <t>beds</t>
        </is>
      </c>
      <c r="C17" s="2" t="n"/>
      <c r="D17" s="29">
        <f>IF(D$4&gt;=RES1_EFF,MIN(STEP_CAP,STEP_OPEN_OCC+STEP_STEP*RES_SPEED*(D$4-RES1_EFF)),0)</f>
        <v/>
      </c>
      <c r="E17" s="29">
        <f>IF(E$4&gt;=RES1_EFF,MIN(STEP_CAP,STEP_OPEN_OCC+STEP_STEP*RES_SPEED*(E$4-RES1_EFF)),0)</f>
        <v/>
      </c>
      <c r="F17" s="29">
        <f>IF(F$4&gt;=RES1_EFF,MIN(STEP_CAP,STEP_OPEN_OCC+STEP_STEP*RES_SPEED*(F$4-RES1_EFF)),0)</f>
        <v/>
      </c>
      <c r="G17" s="29">
        <f>IF(G$4&gt;=RES1_EFF,MIN(STEP_CAP,STEP_OPEN_OCC+STEP_STEP*RES_SPEED*(G$4-RES1_EFF)),0)</f>
        <v/>
      </c>
      <c r="H17" s="29">
        <f>IF(H$4&gt;=RES1_EFF,MIN(STEP_CAP,STEP_OPEN_OCC+STEP_STEP*RES_SPEED*(H$4-RES1_EFF)),0)</f>
        <v/>
      </c>
      <c r="I17" s="29">
        <f>IF(I$4&gt;=RES1_EFF,MIN(STEP_CAP,STEP_OPEN_OCC+STEP_STEP*RES_SPEED*(I$4-RES1_EFF)),0)</f>
        <v/>
      </c>
      <c r="J17" s="29">
        <f>IF(J$4&gt;=RES1_EFF,MIN(STEP_CAP,STEP_OPEN_OCC+STEP_STEP*RES_SPEED*(J$4-RES1_EFF)),0)</f>
        <v/>
      </c>
      <c r="K17" s="29">
        <f>IF(K$4&gt;=RES1_EFF,MIN(STEP_CAP,STEP_OPEN_OCC+STEP_STEP*RES_SPEED*(K$4-RES1_EFF)),0)</f>
        <v/>
      </c>
      <c r="L17" s="29">
        <f>IF(L$4&gt;=RES1_EFF,MIN(STEP_CAP,STEP_OPEN_OCC+STEP_STEP*RES_SPEED*(L$4-RES1_EFF)),0)</f>
        <v/>
      </c>
      <c r="M17" s="29">
        <f>IF(M$4&gt;=RES1_EFF,MIN(STEP_CAP,STEP_OPEN_OCC+STEP_STEP*RES_SPEED*(M$4-RES1_EFF)),0)</f>
        <v/>
      </c>
      <c r="N17" s="29">
        <f>IF(N$4&gt;=RES1_EFF,MIN(STEP_CAP,STEP_OPEN_OCC+STEP_STEP*RES_SPEED*(N$4-RES1_EFF)),0)</f>
        <v/>
      </c>
      <c r="O17" s="29">
        <f>IF(O$4&gt;=RES1_EFF,MIN(STEP_CAP,STEP_OPEN_OCC+STEP_STEP*RES_SPEED*(O$4-RES1_EFF)),0)</f>
        <v/>
      </c>
      <c r="P17" s="29">
        <f>IF(P$4&gt;=RES1_EFF,MIN(STEP_CAP,STEP_OPEN_OCC+STEP_STEP*RES_SPEED*(P$4-RES1_EFF)),0)</f>
        <v/>
      </c>
      <c r="Q17" s="29">
        <f>IF(Q$4&gt;=RES1_EFF,MIN(STEP_CAP,STEP_OPEN_OCC+STEP_STEP*RES_SPEED*(Q$4-RES1_EFF)),0)</f>
        <v/>
      </c>
      <c r="R17" s="29">
        <f>IF(R$4&gt;=RES1_EFF,MIN(STEP_CAP,STEP_OPEN_OCC+STEP_STEP*RES_SPEED*(R$4-RES1_EFF)),0)</f>
        <v/>
      </c>
      <c r="S17" s="29">
        <f>IF(S$4&gt;=RES1_EFF,MIN(STEP_CAP,STEP_OPEN_OCC+STEP_STEP*RES_SPEED*(S$4-RES1_EFF)),0)</f>
        <v/>
      </c>
      <c r="T17" s="29">
        <f>IF(T$4&gt;=RES1_EFF,MIN(STEP_CAP,STEP_OPEN_OCC+STEP_STEP*RES_SPEED*(T$4-RES1_EFF)),0)</f>
        <v/>
      </c>
      <c r="U17" s="29">
        <f>IF(U$4&gt;=RES1_EFF,MIN(STEP_CAP,STEP_OPEN_OCC+STEP_STEP*RES_SPEED*(U$4-RES1_EFF)),0)</f>
        <v/>
      </c>
      <c r="V17" s="29">
        <f>IF(V$4&gt;=RES1_EFF,MIN(STEP_CAP,STEP_OPEN_OCC+STEP_STEP*RES_SPEED*(V$4-RES1_EFF)),0)</f>
        <v/>
      </c>
      <c r="W17" s="29">
        <f>IF(W$4&gt;=RES1_EFF,MIN(STEP_CAP,STEP_OPEN_OCC+STEP_STEP*RES_SPEED*(W$4-RES1_EFF)),0)</f>
        <v/>
      </c>
      <c r="X17" s="29">
        <f>IF(X$4&gt;=RES1_EFF,MIN(STEP_CAP,STEP_OPEN_OCC+STEP_STEP*RES_SPEED*(X$4-RES1_EFF)),0)</f>
        <v/>
      </c>
      <c r="Y17" s="29">
        <f>IF(Y$4&gt;=RES1_EFF,MIN(STEP_CAP,STEP_OPEN_OCC+STEP_STEP*RES_SPEED*(Y$4-RES1_EFF)),0)</f>
        <v/>
      </c>
      <c r="Z17" s="29">
        <f>IF(Z$4&gt;=RES1_EFF,MIN(STEP_CAP,STEP_OPEN_OCC+STEP_STEP*RES_SPEED*(Z$4-RES1_EFF)),0)</f>
        <v/>
      </c>
      <c r="AA17" s="29">
        <f>IF(AA$4&gt;=RES1_EFF,MIN(STEP_CAP,STEP_OPEN_OCC+STEP_STEP*RES_SPEED*(AA$4-RES1_EFF)),0)</f>
        <v/>
      </c>
      <c r="AB17" s="29">
        <f>IF(AB$4&gt;=RES1_EFF,MIN(STEP_CAP,STEP_OPEN_OCC+STEP_STEP*RES_SPEED*(AB$4-RES1_EFF)),0)</f>
        <v/>
      </c>
      <c r="AC17" s="29">
        <f>IF(AC$4&gt;=RES1_EFF,MIN(STEP_CAP,STEP_OPEN_OCC+STEP_STEP*RES_SPEED*(AC$4-RES1_EFF)),0)</f>
        <v/>
      </c>
      <c r="AD17" s="29">
        <f>IF(AD$4&gt;=RES1_EFF,MIN(STEP_CAP,STEP_OPEN_OCC+STEP_STEP*RES_SPEED*(AD$4-RES1_EFF)),0)</f>
        <v/>
      </c>
      <c r="AE17" s="29">
        <f>IF(AE$4&gt;=RES1_EFF,MIN(STEP_CAP,STEP_OPEN_OCC+STEP_STEP*RES_SPEED*(AE$4-RES1_EFF)),0)</f>
        <v/>
      </c>
      <c r="AF17" s="29">
        <f>IF(AF$4&gt;=RES1_EFF,MIN(STEP_CAP,STEP_OPEN_OCC+STEP_STEP*RES_SPEED*(AF$4-RES1_EFF)),0)</f>
        <v/>
      </c>
      <c r="AG17" s="29">
        <f>IF(AG$4&gt;=RES1_EFF,MIN(STEP_CAP,STEP_OPEN_OCC+STEP_STEP*RES_SPEED*(AG$4-RES1_EFF)),0)</f>
        <v/>
      </c>
      <c r="AH17" s="29">
        <f>IF(AH$4&gt;=RES1_EFF,MIN(STEP_CAP,STEP_OPEN_OCC+STEP_STEP*RES_SPEED*(AH$4-RES1_EFF)),0)</f>
        <v/>
      </c>
      <c r="AI17" s="29">
        <f>IF(AI$4&gt;=RES1_EFF,MIN(STEP_CAP,STEP_OPEN_OCC+STEP_STEP*RES_SPEED*(AI$4-RES1_EFF)),0)</f>
        <v/>
      </c>
      <c r="AJ17" s="29">
        <f>IF(AJ$4&gt;=RES1_EFF,MIN(STEP_CAP,STEP_OPEN_OCC+STEP_STEP*RES_SPEED*(AJ$4-RES1_EFF)),0)</f>
        <v/>
      </c>
      <c r="AK17" s="29">
        <f>IF(AK$4&gt;=RES1_EFF,MIN(STEP_CAP,STEP_OPEN_OCC+STEP_STEP*RES_SPEED*(AK$4-RES1_EFF)),0)</f>
        <v/>
      </c>
      <c r="AL17" s="29">
        <f>IF(AL$4&gt;=RES1_EFF,MIN(STEP_CAP,STEP_OPEN_OCC+STEP_STEP*RES_SPEED*(AL$4-RES1_EFF)),0)</f>
        <v/>
      </c>
      <c r="AM17" s="29">
        <f>IF(AM$4&gt;=RES1_EFF,MIN(STEP_CAP,STEP_OPEN_OCC+STEP_STEP*RES_SPEED*(AM$4-RES1_EFF)),0)</f>
        <v/>
      </c>
      <c r="AN17" s="29">
        <f>IF(AN$4&gt;=RES1_EFF,MIN(STEP_CAP,STEP_OPEN_OCC+STEP_STEP*RES_SPEED*(AN$4-RES1_EFF)),0)</f>
        <v/>
      </c>
      <c r="AO17" s="29">
        <f>IF(AO$4&gt;=RES1_EFF,MIN(STEP_CAP,STEP_OPEN_OCC+STEP_STEP*RES_SPEED*(AO$4-RES1_EFF)),0)</f>
        <v/>
      </c>
      <c r="AP17" s="29">
        <f>IF(AP$4&gt;=RES1_EFF,MIN(STEP_CAP,STEP_OPEN_OCC+STEP_STEP*RES_SPEED*(AP$4-RES1_EFF)),0)</f>
        <v/>
      </c>
      <c r="AQ17" s="29">
        <f>IF(AQ$4&gt;=RES1_EFF,MIN(STEP_CAP,STEP_OPEN_OCC+STEP_STEP*RES_SPEED*(AQ$4-RES1_EFF)),0)</f>
        <v/>
      </c>
      <c r="AR17" s="29">
        <f>IF(AR$4&gt;=RES1_EFF,MIN(STEP_CAP,STEP_OPEN_OCC+STEP_STEP*RES_SPEED*(AR$4-RES1_EFF)),0)</f>
        <v/>
      </c>
      <c r="AS17" s="29">
        <f>IF(AS$4&gt;=RES1_EFF,MIN(STEP_CAP,STEP_OPEN_OCC+STEP_STEP*RES_SPEED*(AS$4-RES1_EFF)),0)</f>
        <v/>
      </c>
      <c r="AT17" s="29">
        <f>IF(AT$4&gt;=RES1_EFF,MIN(STEP_CAP,STEP_OPEN_OCC+STEP_STEP*RES_SPEED*(AT$4-RES1_EFF)),0)</f>
        <v/>
      </c>
      <c r="AU17" s="29">
        <f>IF(AU$4&gt;=RES1_EFF,MIN(STEP_CAP,STEP_OPEN_OCC+STEP_STEP*RES_SPEED*(AU$4-RES1_EFF)),0)</f>
        <v/>
      </c>
      <c r="AV17" s="29">
        <f>IF(AV$4&gt;=RES1_EFF,MIN(STEP_CAP,STEP_OPEN_OCC+STEP_STEP*RES_SPEED*(AV$4-RES1_EFF)),0)</f>
        <v/>
      </c>
      <c r="AW17" s="29">
        <f>IF(AW$4&gt;=RES1_EFF,MIN(STEP_CAP,STEP_OPEN_OCC+STEP_STEP*RES_SPEED*(AW$4-RES1_EFF)),0)</f>
        <v/>
      </c>
      <c r="AX17" s="29">
        <f>IF(AX$4&gt;=RES1_EFF,MIN(STEP_CAP,STEP_OPEN_OCC+STEP_STEP*RES_SPEED*(AX$4-RES1_EFF)),0)</f>
        <v/>
      </c>
      <c r="AY17" s="29">
        <f>IF(AY$4&gt;=RES1_EFF,MIN(STEP_CAP,STEP_OPEN_OCC+STEP_STEP*RES_SPEED*(AY$4-RES1_EFF)),0)</f>
        <v/>
      </c>
      <c r="AZ17" s="29">
        <f>IF(AZ$4&gt;=RES1_EFF,MIN(STEP_CAP,STEP_OPEN_OCC+STEP_STEP*RES_SPEED*(AZ$4-RES1_EFF)),0)</f>
        <v/>
      </c>
      <c r="BA17" s="29">
        <f>IF(BA$4&gt;=RES1_EFF,MIN(STEP_CAP,STEP_OPEN_OCC+STEP_STEP*RES_SPEED*(BA$4-RES1_EFF)),0)</f>
        <v/>
      </c>
      <c r="BB17" s="29">
        <f>IF(BB$4&gt;=RES1_EFF,MIN(STEP_CAP,STEP_OPEN_OCC+STEP_STEP*RES_SPEED*(BB$4-RES1_EFF)),0)</f>
        <v/>
      </c>
      <c r="BC17" s="29">
        <f>IF(BC$4&gt;=RES1_EFF,MIN(STEP_CAP,STEP_OPEN_OCC+STEP_STEP*RES_SPEED*(BC$4-RES1_EFF)),0)</f>
        <v/>
      </c>
      <c r="BD17" s="29">
        <f>IF(BD$4&gt;=RES1_EFF,MIN(STEP_CAP,STEP_OPEN_OCC+STEP_STEP*RES_SPEED*(BD$4-RES1_EFF)),0)</f>
        <v/>
      </c>
      <c r="BE17" s="29">
        <f>IF(BE$4&gt;=RES1_EFF,MIN(STEP_CAP,STEP_OPEN_OCC+STEP_STEP*RES_SPEED*(BE$4-RES1_EFF)),0)</f>
        <v/>
      </c>
      <c r="BF17" s="29">
        <f>IF(BF$4&gt;=RES1_EFF,MIN(STEP_CAP,STEP_OPEN_OCC+STEP_STEP*RES_SPEED*(BF$4-RES1_EFF)),0)</f>
        <v/>
      </c>
      <c r="BG17" s="29">
        <f>IF(BG$4&gt;=RES1_EFF,MIN(STEP_CAP,STEP_OPEN_OCC+STEP_STEP*RES_SPEED*(BG$4-RES1_EFF)),0)</f>
        <v/>
      </c>
      <c r="BH17" s="29">
        <f>IF(BH$4&gt;=RES1_EFF,MIN(STEP_CAP,STEP_OPEN_OCC+STEP_STEP*RES_SPEED*(BH$4-RES1_EFF)),0)</f>
        <v/>
      </c>
      <c r="BI17" s="29">
        <f>IF(BI$4&gt;=RES1_EFF,MIN(STEP_CAP,STEP_OPEN_OCC+STEP_STEP*RES_SPEED*(BI$4-RES1_EFF)),0)</f>
        <v/>
      </c>
      <c r="BJ17" s="29">
        <f>IF(BJ$4&gt;=RES1_EFF,MIN(STEP_CAP,STEP_OPEN_OCC+STEP_STEP*RES_SPEED*(BJ$4-RES1_EFF)),0)</f>
        <v/>
      </c>
      <c r="BK17" s="29">
        <f>IF(BK$4&gt;=RES1_EFF,MIN(STEP_CAP,STEP_OPEN_OCC+STEP_STEP*RES_SPEED*(BK$4-RES1_EFF)),0)</f>
        <v/>
      </c>
    </row>
    <row r="18">
      <c r="A18" s="14" t="inlineStr">
        <is>
          <t>Residence one, palliative</t>
        </is>
      </c>
      <c r="B18" s="3" t="inlineStr">
        <is>
          <t>beds</t>
        </is>
      </c>
      <c r="C18" s="2" t="n"/>
      <c r="D18" s="29">
        <f>IF(D$4&gt;=RES1_EFF,MIN(PALL_CAP,PALL_OPEN_OCC+PALL_STEP*RES_SPEED*(D$4-RES1_EFF)),0)</f>
        <v/>
      </c>
      <c r="E18" s="29">
        <f>IF(E$4&gt;=RES1_EFF,MIN(PALL_CAP,PALL_OPEN_OCC+PALL_STEP*RES_SPEED*(E$4-RES1_EFF)),0)</f>
        <v/>
      </c>
      <c r="F18" s="29">
        <f>IF(F$4&gt;=RES1_EFF,MIN(PALL_CAP,PALL_OPEN_OCC+PALL_STEP*RES_SPEED*(F$4-RES1_EFF)),0)</f>
        <v/>
      </c>
      <c r="G18" s="29">
        <f>IF(G$4&gt;=RES1_EFF,MIN(PALL_CAP,PALL_OPEN_OCC+PALL_STEP*RES_SPEED*(G$4-RES1_EFF)),0)</f>
        <v/>
      </c>
      <c r="H18" s="29">
        <f>IF(H$4&gt;=RES1_EFF,MIN(PALL_CAP,PALL_OPEN_OCC+PALL_STEP*RES_SPEED*(H$4-RES1_EFF)),0)</f>
        <v/>
      </c>
      <c r="I18" s="29">
        <f>IF(I$4&gt;=RES1_EFF,MIN(PALL_CAP,PALL_OPEN_OCC+PALL_STEP*RES_SPEED*(I$4-RES1_EFF)),0)</f>
        <v/>
      </c>
      <c r="J18" s="29">
        <f>IF(J$4&gt;=RES1_EFF,MIN(PALL_CAP,PALL_OPEN_OCC+PALL_STEP*RES_SPEED*(J$4-RES1_EFF)),0)</f>
        <v/>
      </c>
      <c r="K18" s="29">
        <f>IF(K$4&gt;=RES1_EFF,MIN(PALL_CAP,PALL_OPEN_OCC+PALL_STEP*RES_SPEED*(K$4-RES1_EFF)),0)</f>
        <v/>
      </c>
      <c r="L18" s="29">
        <f>IF(L$4&gt;=RES1_EFF,MIN(PALL_CAP,PALL_OPEN_OCC+PALL_STEP*RES_SPEED*(L$4-RES1_EFF)),0)</f>
        <v/>
      </c>
      <c r="M18" s="29">
        <f>IF(M$4&gt;=RES1_EFF,MIN(PALL_CAP,PALL_OPEN_OCC+PALL_STEP*RES_SPEED*(M$4-RES1_EFF)),0)</f>
        <v/>
      </c>
      <c r="N18" s="29">
        <f>IF(N$4&gt;=RES1_EFF,MIN(PALL_CAP,PALL_OPEN_OCC+PALL_STEP*RES_SPEED*(N$4-RES1_EFF)),0)</f>
        <v/>
      </c>
      <c r="O18" s="29">
        <f>IF(O$4&gt;=RES1_EFF,MIN(PALL_CAP,PALL_OPEN_OCC+PALL_STEP*RES_SPEED*(O$4-RES1_EFF)),0)</f>
        <v/>
      </c>
      <c r="P18" s="29">
        <f>IF(P$4&gt;=RES1_EFF,MIN(PALL_CAP,PALL_OPEN_OCC+PALL_STEP*RES_SPEED*(P$4-RES1_EFF)),0)</f>
        <v/>
      </c>
      <c r="Q18" s="29">
        <f>IF(Q$4&gt;=RES1_EFF,MIN(PALL_CAP,PALL_OPEN_OCC+PALL_STEP*RES_SPEED*(Q$4-RES1_EFF)),0)</f>
        <v/>
      </c>
      <c r="R18" s="29">
        <f>IF(R$4&gt;=RES1_EFF,MIN(PALL_CAP,PALL_OPEN_OCC+PALL_STEP*RES_SPEED*(R$4-RES1_EFF)),0)</f>
        <v/>
      </c>
      <c r="S18" s="29">
        <f>IF(S$4&gt;=RES1_EFF,MIN(PALL_CAP,PALL_OPEN_OCC+PALL_STEP*RES_SPEED*(S$4-RES1_EFF)),0)</f>
        <v/>
      </c>
      <c r="T18" s="29">
        <f>IF(T$4&gt;=RES1_EFF,MIN(PALL_CAP,PALL_OPEN_OCC+PALL_STEP*RES_SPEED*(T$4-RES1_EFF)),0)</f>
        <v/>
      </c>
      <c r="U18" s="29">
        <f>IF(U$4&gt;=RES1_EFF,MIN(PALL_CAP,PALL_OPEN_OCC+PALL_STEP*RES_SPEED*(U$4-RES1_EFF)),0)</f>
        <v/>
      </c>
      <c r="V18" s="29">
        <f>IF(V$4&gt;=RES1_EFF,MIN(PALL_CAP,PALL_OPEN_OCC+PALL_STEP*RES_SPEED*(V$4-RES1_EFF)),0)</f>
        <v/>
      </c>
      <c r="W18" s="29">
        <f>IF(W$4&gt;=RES1_EFF,MIN(PALL_CAP,PALL_OPEN_OCC+PALL_STEP*RES_SPEED*(W$4-RES1_EFF)),0)</f>
        <v/>
      </c>
      <c r="X18" s="29">
        <f>IF(X$4&gt;=RES1_EFF,MIN(PALL_CAP,PALL_OPEN_OCC+PALL_STEP*RES_SPEED*(X$4-RES1_EFF)),0)</f>
        <v/>
      </c>
      <c r="Y18" s="29">
        <f>IF(Y$4&gt;=RES1_EFF,MIN(PALL_CAP,PALL_OPEN_OCC+PALL_STEP*RES_SPEED*(Y$4-RES1_EFF)),0)</f>
        <v/>
      </c>
      <c r="Z18" s="29">
        <f>IF(Z$4&gt;=RES1_EFF,MIN(PALL_CAP,PALL_OPEN_OCC+PALL_STEP*RES_SPEED*(Z$4-RES1_EFF)),0)</f>
        <v/>
      </c>
      <c r="AA18" s="29">
        <f>IF(AA$4&gt;=RES1_EFF,MIN(PALL_CAP,PALL_OPEN_OCC+PALL_STEP*RES_SPEED*(AA$4-RES1_EFF)),0)</f>
        <v/>
      </c>
      <c r="AB18" s="29">
        <f>IF(AB$4&gt;=RES1_EFF,MIN(PALL_CAP,PALL_OPEN_OCC+PALL_STEP*RES_SPEED*(AB$4-RES1_EFF)),0)</f>
        <v/>
      </c>
      <c r="AC18" s="29">
        <f>IF(AC$4&gt;=RES1_EFF,MIN(PALL_CAP,PALL_OPEN_OCC+PALL_STEP*RES_SPEED*(AC$4-RES1_EFF)),0)</f>
        <v/>
      </c>
      <c r="AD18" s="29">
        <f>IF(AD$4&gt;=RES1_EFF,MIN(PALL_CAP,PALL_OPEN_OCC+PALL_STEP*RES_SPEED*(AD$4-RES1_EFF)),0)</f>
        <v/>
      </c>
      <c r="AE18" s="29">
        <f>IF(AE$4&gt;=RES1_EFF,MIN(PALL_CAP,PALL_OPEN_OCC+PALL_STEP*RES_SPEED*(AE$4-RES1_EFF)),0)</f>
        <v/>
      </c>
      <c r="AF18" s="29">
        <f>IF(AF$4&gt;=RES1_EFF,MIN(PALL_CAP,PALL_OPEN_OCC+PALL_STEP*RES_SPEED*(AF$4-RES1_EFF)),0)</f>
        <v/>
      </c>
      <c r="AG18" s="29">
        <f>IF(AG$4&gt;=RES1_EFF,MIN(PALL_CAP,PALL_OPEN_OCC+PALL_STEP*RES_SPEED*(AG$4-RES1_EFF)),0)</f>
        <v/>
      </c>
      <c r="AH18" s="29">
        <f>IF(AH$4&gt;=RES1_EFF,MIN(PALL_CAP,PALL_OPEN_OCC+PALL_STEP*RES_SPEED*(AH$4-RES1_EFF)),0)</f>
        <v/>
      </c>
      <c r="AI18" s="29">
        <f>IF(AI$4&gt;=RES1_EFF,MIN(PALL_CAP,PALL_OPEN_OCC+PALL_STEP*RES_SPEED*(AI$4-RES1_EFF)),0)</f>
        <v/>
      </c>
      <c r="AJ18" s="29">
        <f>IF(AJ$4&gt;=RES1_EFF,MIN(PALL_CAP,PALL_OPEN_OCC+PALL_STEP*RES_SPEED*(AJ$4-RES1_EFF)),0)</f>
        <v/>
      </c>
      <c r="AK18" s="29">
        <f>IF(AK$4&gt;=RES1_EFF,MIN(PALL_CAP,PALL_OPEN_OCC+PALL_STEP*RES_SPEED*(AK$4-RES1_EFF)),0)</f>
        <v/>
      </c>
      <c r="AL18" s="29">
        <f>IF(AL$4&gt;=RES1_EFF,MIN(PALL_CAP,PALL_OPEN_OCC+PALL_STEP*RES_SPEED*(AL$4-RES1_EFF)),0)</f>
        <v/>
      </c>
      <c r="AM18" s="29">
        <f>IF(AM$4&gt;=RES1_EFF,MIN(PALL_CAP,PALL_OPEN_OCC+PALL_STEP*RES_SPEED*(AM$4-RES1_EFF)),0)</f>
        <v/>
      </c>
      <c r="AN18" s="29">
        <f>IF(AN$4&gt;=RES1_EFF,MIN(PALL_CAP,PALL_OPEN_OCC+PALL_STEP*RES_SPEED*(AN$4-RES1_EFF)),0)</f>
        <v/>
      </c>
      <c r="AO18" s="29">
        <f>IF(AO$4&gt;=RES1_EFF,MIN(PALL_CAP,PALL_OPEN_OCC+PALL_STEP*RES_SPEED*(AO$4-RES1_EFF)),0)</f>
        <v/>
      </c>
      <c r="AP18" s="29">
        <f>IF(AP$4&gt;=RES1_EFF,MIN(PALL_CAP,PALL_OPEN_OCC+PALL_STEP*RES_SPEED*(AP$4-RES1_EFF)),0)</f>
        <v/>
      </c>
      <c r="AQ18" s="29">
        <f>IF(AQ$4&gt;=RES1_EFF,MIN(PALL_CAP,PALL_OPEN_OCC+PALL_STEP*RES_SPEED*(AQ$4-RES1_EFF)),0)</f>
        <v/>
      </c>
      <c r="AR18" s="29">
        <f>IF(AR$4&gt;=RES1_EFF,MIN(PALL_CAP,PALL_OPEN_OCC+PALL_STEP*RES_SPEED*(AR$4-RES1_EFF)),0)</f>
        <v/>
      </c>
      <c r="AS18" s="29">
        <f>IF(AS$4&gt;=RES1_EFF,MIN(PALL_CAP,PALL_OPEN_OCC+PALL_STEP*RES_SPEED*(AS$4-RES1_EFF)),0)</f>
        <v/>
      </c>
      <c r="AT18" s="29">
        <f>IF(AT$4&gt;=RES1_EFF,MIN(PALL_CAP,PALL_OPEN_OCC+PALL_STEP*RES_SPEED*(AT$4-RES1_EFF)),0)</f>
        <v/>
      </c>
      <c r="AU18" s="29">
        <f>IF(AU$4&gt;=RES1_EFF,MIN(PALL_CAP,PALL_OPEN_OCC+PALL_STEP*RES_SPEED*(AU$4-RES1_EFF)),0)</f>
        <v/>
      </c>
      <c r="AV18" s="29">
        <f>IF(AV$4&gt;=RES1_EFF,MIN(PALL_CAP,PALL_OPEN_OCC+PALL_STEP*RES_SPEED*(AV$4-RES1_EFF)),0)</f>
        <v/>
      </c>
      <c r="AW18" s="29">
        <f>IF(AW$4&gt;=RES1_EFF,MIN(PALL_CAP,PALL_OPEN_OCC+PALL_STEP*RES_SPEED*(AW$4-RES1_EFF)),0)</f>
        <v/>
      </c>
      <c r="AX18" s="29">
        <f>IF(AX$4&gt;=RES1_EFF,MIN(PALL_CAP,PALL_OPEN_OCC+PALL_STEP*RES_SPEED*(AX$4-RES1_EFF)),0)</f>
        <v/>
      </c>
      <c r="AY18" s="29">
        <f>IF(AY$4&gt;=RES1_EFF,MIN(PALL_CAP,PALL_OPEN_OCC+PALL_STEP*RES_SPEED*(AY$4-RES1_EFF)),0)</f>
        <v/>
      </c>
      <c r="AZ18" s="29">
        <f>IF(AZ$4&gt;=RES1_EFF,MIN(PALL_CAP,PALL_OPEN_OCC+PALL_STEP*RES_SPEED*(AZ$4-RES1_EFF)),0)</f>
        <v/>
      </c>
      <c r="BA18" s="29">
        <f>IF(BA$4&gt;=RES1_EFF,MIN(PALL_CAP,PALL_OPEN_OCC+PALL_STEP*RES_SPEED*(BA$4-RES1_EFF)),0)</f>
        <v/>
      </c>
      <c r="BB18" s="29">
        <f>IF(BB$4&gt;=RES1_EFF,MIN(PALL_CAP,PALL_OPEN_OCC+PALL_STEP*RES_SPEED*(BB$4-RES1_EFF)),0)</f>
        <v/>
      </c>
      <c r="BC18" s="29">
        <f>IF(BC$4&gt;=RES1_EFF,MIN(PALL_CAP,PALL_OPEN_OCC+PALL_STEP*RES_SPEED*(BC$4-RES1_EFF)),0)</f>
        <v/>
      </c>
      <c r="BD18" s="29">
        <f>IF(BD$4&gt;=RES1_EFF,MIN(PALL_CAP,PALL_OPEN_OCC+PALL_STEP*RES_SPEED*(BD$4-RES1_EFF)),0)</f>
        <v/>
      </c>
      <c r="BE18" s="29">
        <f>IF(BE$4&gt;=RES1_EFF,MIN(PALL_CAP,PALL_OPEN_OCC+PALL_STEP*RES_SPEED*(BE$4-RES1_EFF)),0)</f>
        <v/>
      </c>
      <c r="BF18" s="29">
        <f>IF(BF$4&gt;=RES1_EFF,MIN(PALL_CAP,PALL_OPEN_OCC+PALL_STEP*RES_SPEED*(BF$4-RES1_EFF)),0)</f>
        <v/>
      </c>
      <c r="BG18" s="29">
        <f>IF(BG$4&gt;=RES1_EFF,MIN(PALL_CAP,PALL_OPEN_OCC+PALL_STEP*RES_SPEED*(BG$4-RES1_EFF)),0)</f>
        <v/>
      </c>
      <c r="BH18" s="29">
        <f>IF(BH$4&gt;=RES1_EFF,MIN(PALL_CAP,PALL_OPEN_OCC+PALL_STEP*RES_SPEED*(BH$4-RES1_EFF)),0)</f>
        <v/>
      </c>
      <c r="BI18" s="29">
        <f>IF(BI$4&gt;=RES1_EFF,MIN(PALL_CAP,PALL_OPEN_OCC+PALL_STEP*RES_SPEED*(BI$4-RES1_EFF)),0)</f>
        <v/>
      </c>
      <c r="BJ18" s="29">
        <f>IF(BJ$4&gt;=RES1_EFF,MIN(PALL_CAP,PALL_OPEN_OCC+PALL_STEP*RES_SPEED*(BJ$4-RES1_EFF)),0)</f>
        <v/>
      </c>
      <c r="BK18" s="29">
        <f>IF(BK$4&gt;=RES1_EFF,MIN(PALL_CAP,PALL_OPEN_OCC+PALL_STEP*RES_SPEED*(BK$4-RES1_EFF)),0)</f>
        <v/>
      </c>
    </row>
    <row r="19">
      <c r="A19" s="14" t="inlineStr">
        <is>
          <t>Residence two, long-stay</t>
        </is>
      </c>
      <c r="B19" s="3" t="inlineStr">
        <is>
          <t>beds</t>
        </is>
      </c>
      <c r="C19" s="2" t="n"/>
      <c r="D19" s="29">
        <f>IF(D$4&gt;=RES2_EFF,MIN(RES_CAP,RES_OPEN_OCC+RES_STEP*RES_SPEED*(D$4-RES2_EFF)),0)</f>
        <v/>
      </c>
      <c r="E19" s="29">
        <f>IF(E$4&gt;=RES2_EFF,MIN(RES_CAP,RES_OPEN_OCC+RES_STEP*RES_SPEED*(E$4-RES2_EFF)),0)</f>
        <v/>
      </c>
      <c r="F19" s="29">
        <f>IF(F$4&gt;=RES2_EFF,MIN(RES_CAP,RES_OPEN_OCC+RES_STEP*RES_SPEED*(F$4-RES2_EFF)),0)</f>
        <v/>
      </c>
      <c r="G19" s="29">
        <f>IF(G$4&gt;=RES2_EFF,MIN(RES_CAP,RES_OPEN_OCC+RES_STEP*RES_SPEED*(G$4-RES2_EFF)),0)</f>
        <v/>
      </c>
      <c r="H19" s="29">
        <f>IF(H$4&gt;=RES2_EFF,MIN(RES_CAP,RES_OPEN_OCC+RES_STEP*RES_SPEED*(H$4-RES2_EFF)),0)</f>
        <v/>
      </c>
      <c r="I19" s="29">
        <f>IF(I$4&gt;=RES2_EFF,MIN(RES_CAP,RES_OPEN_OCC+RES_STEP*RES_SPEED*(I$4-RES2_EFF)),0)</f>
        <v/>
      </c>
      <c r="J19" s="29">
        <f>IF(J$4&gt;=RES2_EFF,MIN(RES_CAP,RES_OPEN_OCC+RES_STEP*RES_SPEED*(J$4-RES2_EFF)),0)</f>
        <v/>
      </c>
      <c r="K19" s="29">
        <f>IF(K$4&gt;=RES2_EFF,MIN(RES_CAP,RES_OPEN_OCC+RES_STEP*RES_SPEED*(K$4-RES2_EFF)),0)</f>
        <v/>
      </c>
      <c r="L19" s="29">
        <f>IF(L$4&gt;=RES2_EFF,MIN(RES_CAP,RES_OPEN_OCC+RES_STEP*RES_SPEED*(L$4-RES2_EFF)),0)</f>
        <v/>
      </c>
      <c r="M19" s="29">
        <f>IF(M$4&gt;=RES2_EFF,MIN(RES_CAP,RES_OPEN_OCC+RES_STEP*RES_SPEED*(M$4-RES2_EFF)),0)</f>
        <v/>
      </c>
      <c r="N19" s="29">
        <f>IF(N$4&gt;=RES2_EFF,MIN(RES_CAP,RES_OPEN_OCC+RES_STEP*RES_SPEED*(N$4-RES2_EFF)),0)</f>
        <v/>
      </c>
      <c r="O19" s="29">
        <f>IF(O$4&gt;=RES2_EFF,MIN(RES_CAP,RES_OPEN_OCC+RES_STEP*RES_SPEED*(O$4-RES2_EFF)),0)</f>
        <v/>
      </c>
      <c r="P19" s="29">
        <f>IF(P$4&gt;=RES2_EFF,MIN(RES_CAP,RES_OPEN_OCC+RES_STEP*RES_SPEED*(P$4-RES2_EFF)),0)</f>
        <v/>
      </c>
      <c r="Q19" s="29">
        <f>IF(Q$4&gt;=RES2_EFF,MIN(RES_CAP,RES_OPEN_OCC+RES_STEP*RES_SPEED*(Q$4-RES2_EFF)),0)</f>
        <v/>
      </c>
      <c r="R19" s="29">
        <f>IF(R$4&gt;=RES2_EFF,MIN(RES_CAP,RES_OPEN_OCC+RES_STEP*RES_SPEED*(R$4-RES2_EFF)),0)</f>
        <v/>
      </c>
      <c r="S19" s="29">
        <f>IF(S$4&gt;=RES2_EFF,MIN(RES_CAP,RES_OPEN_OCC+RES_STEP*RES_SPEED*(S$4-RES2_EFF)),0)</f>
        <v/>
      </c>
      <c r="T19" s="29">
        <f>IF(T$4&gt;=RES2_EFF,MIN(RES_CAP,RES_OPEN_OCC+RES_STEP*RES_SPEED*(T$4-RES2_EFF)),0)</f>
        <v/>
      </c>
      <c r="U19" s="29">
        <f>IF(U$4&gt;=RES2_EFF,MIN(RES_CAP,RES_OPEN_OCC+RES_STEP*RES_SPEED*(U$4-RES2_EFF)),0)</f>
        <v/>
      </c>
      <c r="V19" s="29">
        <f>IF(V$4&gt;=RES2_EFF,MIN(RES_CAP,RES_OPEN_OCC+RES_STEP*RES_SPEED*(V$4-RES2_EFF)),0)</f>
        <v/>
      </c>
      <c r="W19" s="29">
        <f>IF(W$4&gt;=RES2_EFF,MIN(RES_CAP,RES_OPEN_OCC+RES_STEP*RES_SPEED*(W$4-RES2_EFF)),0)</f>
        <v/>
      </c>
      <c r="X19" s="29">
        <f>IF(X$4&gt;=RES2_EFF,MIN(RES_CAP,RES_OPEN_OCC+RES_STEP*RES_SPEED*(X$4-RES2_EFF)),0)</f>
        <v/>
      </c>
      <c r="Y19" s="29">
        <f>IF(Y$4&gt;=RES2_EFF,MIN(RES_CAP,RES_OPEN_OCC+RES_STEP*RES_SPEED*(Y$4-RES2_EFF)),0)</f>
        <v/>
      </c>
      <c r="Z19" s="29">
        <f>IF(Z$4&gt;=RES2_EFF,MIN(RES_CAP,RES_OPEN_OCC+RES_STEP*RES_SPEED*(Z$4-RES2_EFF)),0)</f>
        <v/>
      </c>
      <c r="AA19" s="29">
        <f>IF(AA$4&gt;=RES2_EFF,MIN(RES_CAP,RES_OPEN_OCC+RES_STEP*RES_SPEED*(AA$4-RES2_EFF)),0)</f>
        <v/>
      </c>
      <c r="AB19" s="29">
        <f>IF(AB$4&gt;=RES2_EFF,MIN(RES_CAP,RES_OPEN_OCC+RES_STEP*RES_SPEED*(AB$4-RES2_EFF)),0)</f>
        <v/>
      </c>
      <c r="AC19" s="29">
        <f>IF(AC$4&gt;=RES2_EFF,MIN(RES_CAP,RES_OPEN_OCC+RES_STEP*RES_SPEED*(AC$4-RES2_EFF)),0)</f>
        <v/>
      </c>
      <c r="AD19" s="29">
        <f>IF(AD$4&gt;=RES2_EFF,MIN(RES_CAP,RES_OPEN_OCC+RES_STEP*RES_SPEED*(AD$4-RES2_EFF)),0)</f>
        <v/>
      </c>
      <c r="AE19" s="29">
        <f>IF(AE$4&gt;=RES2_EFF,MIN(RES_CAP,RES_OPEN_OCC+RES_STEP*RES_SPEED*(AE$4-RES2_EFF)),0)</f>
        <v/>
      </c>
      <c r="AF19" s="29">
        <f>IF(AF$4&gt;=RES2_EFF,MIN(RES_CAP,RES_OPEN_OCC+RES_STEP*RES_SPEED*(AF$4-RES2_EFF)),0)</f>
        <v/>
      </c>
      <c r="AG19" s="29">
        <f>IF(AG$4&gt;=RES2_EFF,MIN(RES_CAP,RES_OPEN_OCC+RES_STEP*RES_SPEED*(AG$4-RES2_EFF)),0)</f>
        <v/>
      </c>
      <c r="AH19" s="29">
        <f>IF(AH$4&gt;=RES2_EFF,MIN(RES_CAP,RES_OPEN_OCC+RES_STEP*RES_SPEED*(AH$4-RES2_EFF)),0)</f>
        <v/>
      </c>
      <c r="AI19" s="29">
        <f>IF(AI$4&gt;=RES2_EFF,MIN(RES_CAP,RES_OPEN_OCC+RES_STEP*RES_SPEED*(AI$4-RES2_EFF)),0)</f>
        <v/>
      </c>
      <c r="AJ19" s="29">
        <f>IF(AJ$4&gt;=RES2_EFF,MIN(RES_CAP,RES_OPEN_OCC+RES_STEP*RES_SPEED*(AJ$4-RES2_EFF)),0)</f>
        <v/>
      </c>
      <c r="AK19" s="29">
        <f>IF(AK$4&gt;=RES2_EFF,MIN(RES_CAP,RES_OPEN_OCC+RES_STEP*RES_SPEED*(AK$4-RES2_EFF)),0)</f>
        <v/>
      </c>
      <c r="AL19" s="29">
        <f>IF(AL$4&gt;=RES2_EFF,MIN(RES_CAP,RES_OPEN_OCC+RES_STEP*RES_SPEED*(AL$4-RES2_EFF)),0)</f>
        <v/>
      </c>
      <c r="AM19" s="29">
        <f>IF(AM$4&gt;=RES2_EFF,MIN(RES_CAP,RES_OPEN_OCC+RES_STEP*RES_SPEED*(AM$4-RES2_EFF)),0)</f>
        <v/>
      </c>
      <c r="AN19" s="29">
        <f>IF(AN$4&gt;=RES2_EFF,MIN(RES_CAP,RES_OPEN_OCC+RES_STEP*RES_SPEED*(AN$4-RES2_EFF)),0)</f>
        <v/>
      </c>
      <c r="AO19" s="29">
        <f>IF(AO$4&gt;=RES2_EFF,MIN(RES_CAP,RES_OPEN_OCC+RES_STEP*RES_SPEED*(AO$4-RES2_EFF)),0)</f>
        <v/>
      </c>
      <c r="AP19" s="29">
        <f>IF(AP$4&gt;=RES2_EFF,MIN(RES_CAP,RES_OPEN_OCC+RES_STEP*RES_SPEED*(AP$4-RES2_EFF)),0)</f>
        <v/>
      </c>
      <c r="AQ19" s="29">
        <f>IF(AQ$4&gt;=RES2_EFF,MIN(RES_CAP,RES_OPEN_OCC+RES_STEP*RES_SPEED*(AQ$4-RES2_EFF)),0)</f>
        <v/>
      </c>
      <c r="AR19" s="29">
        <f>IF(AR$4&gt;=RES2_EFF,MIN(RES_CAP,RES_OPEN_OCC+RES_STEP*RES_SPEED*(AR$4-RES2_EFF)),0)</f>
        <v/>
      </c>
      <c r="AS19" s="29">
        <f>IF(AS$4&gt;=RES2_EFF,MIN(RES_CAP,RES_OPEN_OCC+RES_STEP*RES_SPEED*(AS$4-RES2_EFF)),0)</f>
        <v/>
      </c>
      <c r="AT19" s="29">
        <f>IF(AT$4&gt;=RES2_EFF,MIN(RES_CAP,RES_OPEN_OCC+RES_STEP*RES_SPEED*(AT$4-RES2_EFF)),0)</f>
        <v/>
      </c>
      <c r="AU19" s="29">
        <f>IF(AU$4&gt;=RES2_EFF,MIN(RES_CAP,RES_OPEN_OCC+RES_STEP*RES_SPEED*(AU$4-RES2_EFF)),0)</f>
        <v/>
      </c>
      <c r="AV19" s="29">
        <f>IF(AV$4&gt;=RES2_EFF,MIN(RES_CAP,RES_OPEN_OCC+RES_STEP*RES_SPEED*(AV$4-RES2_EFF)),0)</f>
        <v/>
      </c>
      <c r="AW19" s="29">
        <f>IF(AW$4&gt;=RES2_EFF,MIN(RES_CAP,RES_OPEN_OCC+RES_STEP*RES_SPEED*(AW$4-RES2_EFF)),0)</f>
        <v/>
      </c>
      <c r="AX19" s="29">
        <f>IF(AX$4&gt;=RES2_EFF,MIN(RES_CAP,RES_OPEN_OCC+RES_STEP*RES_SPEED*(AX$4-RES2_EFF)),0)</f>
        <v/>
      </c>
      <c r="AY19" s="29">
        <f>IF(AY$4&gt;=RES2_EFF,MIN(RES_CAP,RES_OPEN_OCC+RES_STEP*RES_SPEED*(AY$4-RES2_EFF)),0)</f>
        <v/>
      </c>
      <c r="AZ19" s="29">
        <f>IF(AZ$4&gt;=RES2_EFF,MIN(RES_CAP,RES_OPEN_OCC+RES_STEP*RES_SPEED*(AZ$4-RES2_EFF)),0)</f>
        <v/>
      </c>
      <c r="BA19" s="29">
        <f>IF(BA$4&gt;=RES2_EFF,MIN(RES_CAP,RES_OPEN_OCC+RES_STEP*RES_SPEED*(BA$4-RES2_EFF)),0)</f>
        <v/>
      </c>
      <c r="BB19" s="29">
        <f>IF(BB$4&gt;=RES2_EFF,MIN(RES_CAP,RES_OPEN_OCC+RES_STEP*RES_SPEED*(BB$4-RES2_EFF)),0)</f>
        <v/>
      </c>
      <c r="BC19" s="29">
        <f>IF(BC$4&gt;=RES2_EFF,MIN(RES_CAP,RES_OPEN_OCC+RES_STEP*RES_SPEED*(BC$4-RES2_EFF)),0)</f>
        <v/>
      </c>
      <c r="BD19" s="29">
        <f>IF(BD$4&gt;=RES2_EFF,MIN(RES_CAP,RES_OPEN_OCC+RES_STEP*RES_SPEED*(BD$4-RES2_EFF)),0)</f>
        <v/>
      </c>
      <c r="BE19" s="29">
        <f>IF(BE$4&gt;=RES2_EFF,MIN(RES_CAP,RES_OPEN_OCC+RES_STEP*RES_SPEED*(BE$4-RES2_EFF)),0)</f>
        <v/>
      </c>
      <c r="BF19" s="29">
        <f>IF(BF$4&gt;=RES2_EFF,MIN(RES_CAP,RES_OPEN_OCC+RES_STEP*RES_SPEED*(BF$4-RES2_EFF)),0)</f>
        <v/>
      </c>
      <c r="BG19" s="29">
        <f>IF(BG$4&gt;=RES2_EFF,MIN(RES_CAP,RES_OPEN_OCC+RES_STEP*RES_SPEED*(BG$4-RES2_EFF)),0)</f>
        <v/>
      </c>
      <c r="BH19" s="29">
        <f>IF(BH$4&gt;=RES2_EFF,MIN(RES_CAP,RES_OPEN_OCC+RES_STEP*RES_SPEED*(BH$4-RES2_EFF)),0)</f>
        <v/>
      </c>
      <c r="BI19" s="29">
        <f>IF(BI$4&gt;=RES2_EFF,MIN(RES_CAP,RES_OPEN_OCC+RES_STEP*RES_SPEED*(BI$4-RES2_EFF)),0)</f>
        <v/>
      </c>
      <c r="BJ19" s="29">
        <f>IF(BJ$4&gt;=RES2_EFF,MIN(RES_CAP,RES_OPEN_OCC+RES_STEP*RES_SPEED*(BJ$4-RES2_EFF)),0)</f>
        <v/>
      </c>
      <c r="BK19" s="29">
        <f>IF(BK$4&gt;=RES2_EFF,MIN(RES_CAP,RES_OPEN_OCC+RES_STEP*RES_SPEED*(BK$4-RES2_EFF)),0)</f>
        <v/>
      </c>
    </row>
    <row r="20">
      <c r="A20" s="14" t="inlineStr">
        <is>
          <t>Residence two, step-down</t>
        </is>
      </c>
      <c r="B20" s="3" t="inlineStr">
        <is>
          <t>beds</t>
        </is>
      </c>
      <c r="C20" s="2" t="n"/>
      <c r="D20" s="29">
        <f>IF(D$4&gt;=RES2_EFF,MIN(STEP_CAP,STEP_OPEN_OCC+STEP_STEP*RES_SPEED*(D$4-RES2_EFF)),0)</f>
        <v/>
      </c>
      <c r="E20" s="29">
        <f>IF(E$4&gt;=RES2_EFF,MIN(STEP_CAP,STEP_OPEN_OCC+STEP_STEP*RES_SPEED*(E$4-RES2_EFF)),0)</f>
        <v/>
      </c>
      <c r="F20" s="29">
        <f>IF(F$4&gt;=RES2_EFF,MIN(STEP_CAP,STEP_OPEN_OCC+STEP_STEP*RES_SPEED*(F$4-RES2_EFF)),0)</f>
        <v/>
      </c>
      <c r="G20" s="29">
        <f>IF(G$4&gt;=RES2_EFF,MIN(STEP_CAP,STEP_OPEN_OCC+STEP_STEP*RES_SPEED*(G$4-RES2_EFF)),0)</f>
        <v/>
      </c>
      <c r="H20" s="29">
        <f>IF(H$4&gt;=RES2_EFF,MIN(STEP_CAP,STEP_OPEN_OCC+STEP_STEP*RES_SPEED*(H$4-RES2_EFF)),0)</f>
        <v/>
      </c>
      <c r="I20" s="29">
        <f>IF(I$4&gt;=RES2_EFF,MIN(STEP_CAP,STEP_OPEN_OCC+STEP_STEP*RES_SPEED*(I$4-RES2_EFF)),0)</f>
        <v/>
      </c>
      <c r="J20" s="29">
        <f>IF(J$4&gt;=RES2_EFF,MIN(STEP_CAP,STEP_OPEN_OCC+STEP_STEP*RES_SPEED*(J$4-RES2_EFF)),0)</f>
        <v/>
      </c>
      <c r="K20" s="29">
        <f>IF(K$4&gt;=RES2_EFF,MIN(STEP_CAP,STEP_OPEN_OCC+STEP_STEP*RES_SPEED*(K$4-RES2_EFF)),0)</f>
        <v/>
      </c>
      <c r="L20" s="29">
        <f>IF(L$4&gt;=RES2_EFF,MIN(STEP_CAP,STEP_OPEN_OCC+STEP_STEP*RES_SPEED*(L$4-RES2_EFF)),0)</f>
        <v/>
      </c>
      <c r="M20" s="29">
        <f>IF(M$4&gt;=RES2_EFF,MIN(STEP_CAP,STEP_OPEN_OCC+STEP_STEP*RES_SPEED*(M$4-RES2_EFF)),0)</f>
        <v/>
      </c>
      <c r="N20" s="29">
        <f>IF(N$4&gt;=RES2_EFF,MIN(STEP_CAP,STEP_OPEN_OCC+STEP_STEP*RES_SPEED*(N$4-RES2_EFF)),0)</f>
        <v/>
      </c>
      <c r="O20" s="29">
        <f>IF(O$4&gt;=RES2_EFF,MIN(STEP_CAP,STEP_OPEN_OCC+STEP_STEP*RES_SPEED*(O$4-RES2_EFF)),0)</f>
        <v/>
      </c>
      <c r="P20" s="29">
        <f>IF(P$4&gt;=RES2_EFF,MIN(STEP_CAP,STEP_OPEN_OCC+STEP_STEP*RES_SPEED*(P$4-RES2_EFF)),0)</f>
        <v/>
      </c>
      <c r="Q20" s="29">
        <f>IF(Q$4&gt;=RES2_EFF,MIN(STEP_CAP,STEP_OPEN_OCC+STEP_STEP*RES_SPEED*(Q$4-RES2_EFF)),0)</f>
        <v/>
      </c>
      <c r="R20" s="29">
        <f>IF(R$4&gt;=RES2_EFF,MIN(STEP_CAP,STEP_OPEN_OCC+STEP_STEP*RES_SPEED*(R$4-RES2_EFF)),0)</f>
        <v/>
      </c>
      <c r="S20" s="29">
        <f>IF(S$4&gt;=RES2_EFF,MIN(STEP_CAP,STEP_OPEN_OCC+STEP_STEP*RES_SPEED*(S$4-RES2_EFF)),0)</f>
        <v/>
      </c>
      <c r="T20" s="29">
        <f>IF(T$4&gt;=RES2_EFF,MIN(STEP_CAP,STEP_OPEN_OCC+STEP_STEP*RES_SPEED*(T$4-RES2_EFF)),0)</f>
        <v/>
      </c>
      <c r="U20" s="29">
        <f>IF(U$4&gt;=RES2_EFF,MIN(STEP_CAP,STEP_OPEN_OCC+STEP_STEP*RES_SPEED*(U$4-RES2_EFF)),0)</f>
        <v/>
      </c>
      <c r="V20" s="29">
        <f>IF(V$4&gt;=RES2_EFF,MIN(STEP_CAP,STEP_OPEN_OCC+STEP_STEP*RES_SPEED*(V$4-RES2_EFF)),0)</f>
        <v/>
      </c>
      <c r="W20" s="29">
        <f>IF(W$4&gt;=RES2_EFF,MIN(STEP_CAP,STEP_OPEN_OCC+STEP_STEP*RES_SPEED*(W$4-RES2_EFF)),0)</f>
        <v/>
      </c>
      <c r="X20" s="29">
        <f>IF(X$4&gt;=RES2_EFF,MIN(STEP_CAP,STEP_OPEN_OCC+STEP_STEP*RES_SPEED*(X$4-RES2_EFF)),0)</f>
        <v/>
      </c>
      <c r="Y20" s="29">
        <f>IF(Y$4&gt;=RES2_EFF,MIN(STEP_CAP,STEP_OPEN_OCC+STEP_STEP*RES_SPEED*(Y$4-RES2_EFF)),0)</f>
        <v/>
      </c>
      <c r="Z20" s="29">
        <f>IF(Z$4&gt;=RES2_EFF,MIN(STEP_CAP,STEP_OPEN_OCC+STEP_STEP*RES_SPEED*(Z$4-RES2_EFF)),0)</f>
        <v/>
      </c>
      <c r="AA20" s="29">
        <f>IF(AA$4&gt;=RES2_EFF,MIN(STEP_CAP,STEP_OPEN_OCC+STEP_STEP*RES_SPEED*(AA$4-RES2_EFF)),0)</f>
        <v/>
      </c>
      <c r="AB20" s="29">
        <f>IF(AB$4&gt;=RES2_EFF,MIN(STEP_CAP,STEP_OPEN_OCC+STEP_STEP*RES_SPEED*(AB$4-RES2_EFF)),0)</f>
        <v/>
      </c>
      <c r="AC20" s="29">
        <f>IF(AC$4&gt;=RES2_EFF,MIN(STEP_CAP,STEP_OPEN_OCC+STEP_STEP*RES_SPEED*(AC$4-RES2_EFF)),0)</f>
        <v/>
      </c>
      <c r="AD20" s="29">
        <f>IF(AD$4&gt;=RES2_EFF,MIN(STEP_CAP,STEP_OPEN_OCC+STEP_STEP*RES_SPEED*(AD$4-RES2_EFF)),0)</f>
        <v/>
      </c>
      <c r="AE20" s="29">
        <f>IF(AE$4&gt;=RES2_EFF,MIN(STEP_CAP,STEP_OPEN_OCC+STEP_STEP*RES_SPEED*(AE$4-RES2_EFF)),0)</f>
        <v/>
      </c>
      <c r="AF20" s="29">
        <f>IF(AF$4&gt;=RES2_EFF,MIN(STEP_CAP,STEP_OPEN_OCC+STEP_STEP*RES_SPEED*(AF$4-RES2_EFF)),0)</f>
        <v/>
      </c>
      <c r="AG20" s="29">
        <f>IF(AG$4&gt;=RES2_EFF,MIN(STEP_CAP,STEP_OPEN_OCC+STEP_STEP*RES_SPEED*(AG$4-RES2_EFF)),0)</f>
        <v/>
      </c>
      <c r="AH20" s="29">
        <f>IF(AH$4&gt;=RES2_EFF,MIN(STEP_CAP,STEP_OPEN_OCC+STEP_STEP*RES_SPEED*(AH$4-RES2_EFF)),0)</f>
        <v/>
      </c>
      <c r="AI20" s="29">
        <f>IF(AI$4&gt;=RES2_EFF,MIN(STEP_CAP,STEP_OPEN_OCC+STEP_STEP*RES_SPEED*(AI$4-RES2_EFF)),0)</f>
        <v/>
      </c>
      <c r="AJ20" s="29">
        <f>IF(AJ$4&gt;=RES2_EFF,MIN(STEP_CAP,STEP_OPEN_OCC+STEP_STEP*RES_SPEED*(AJ$4-RES2_EFF)),0)</f>
        <v/>
      </c>
      <c r="AK20" s="29">
        <f>IF(AK$4&gt;=RES2_EFF,MIN(STEP_CAP,STEP_OPEN_OCC+STEP_STEP*RES_SPEED*(AK$4-RES2_EFF)),0)</f>
        <v/>
      </c>
      <c r="AL20" s="29">
        <f>IF(AL$4&gt;=RES2_EFF,MIN(STEP_CAP,STEP_OPEN_OCC+STEP_STEP*RES_SPEED*(AL$4-RES2_EFF)),0)</f>
        <v/>
      </c>
      <c r="AM20" s="29">
        <f>IF(AM$4&gt;=RES2_EFF,MIN(STEP_CAP,STEP_OPEN_OCC+STEP_STEP*RES_SPEED*(AM$4-RES2_EFF)),0)</f>
        <v/>
      </c>
      <c r="AN20" s="29">
        <f>IF(AN$4&gt;=RES2_EFF,MIN(STEP_CAP,STEP_OPEN_OCC+STEP_STEP*RES_SPEED*(AN$4-RES2_EFF)),0)</f>
        <v/>
      </c>
      <c r="AO20" s="29">
        <f>IF(AO$4&gt;=RES2_EFF,MIN(STEP_CAP,STEP_OPEN_OCC+STEP_STEP*RES_SPEED*(AO$4-RES2_EFF)),0)</f>
        <v/>
      </c>
      <c r="AP20" s="29">
        <f>IF(AP$4&gt;=RES2_EFF,MIN(STEP_CAP,STEP_OPEN_OCC+STEP_STEP*RES_SPEED*(AP$4-RES2_EFF)),0)</f>
        <v/>
      </c>
      <c r="AQ20" s="29">
        <f>IF(AQ$4&gt;=RES2_EFF,MIN(STEP_CAP,STEP_OPEN_OCC+STEP_STEP*RES_SPEED*(AQ$4-RES2_EFF)),0)</f>
        <v/>
      </c>
      <c r="AR20" s="29">
        <f>IF(AR$4&gt;=RES2_EFF,MIN(STEP_CAP,STEP_OPEN_OCC+STEP_STEP*RES_SPEED*(AR$4-RES2_EFF)),0)</f>
        <v/>
      </c>
      <c r="AS20" s="29">
        <f>IF(AS$4&gt;=RES2_EFF,MIN(STEP_CAP,STEP_OPEN_OCC+STEP_STEP*RES_SPEED*(AS$4-RES2_EFF)),0)</f>
        <v/>
      </c>
      <c r="AT20" s="29">
        <f>IF(AT$4&gt;=RES2_EFF,MIN(STEP_CAP,STEP_OPEN_OCC+STEP_STEP*RES_SPEED*(AT$4-RES2_EFF)),0)</f>
        <v/>
      </c>
      <c r="AU20" s="29">
        <f>IF(AU$4&gt;=RES2_EFF,MIN(STEP_CAP,STEP_OPEN_OCC+STEP_STEP*RES_SPEED*(AU$4-RES2_EFF)),0)</f>
        <v/>
      </c>
      <c r="AV20" s="29">
        <f>IF(AV$4&gt;=RES2_EFF,MIN(STEP_CAP,STEP_OPEN_OCC+STEP_STEP*RES_SPEED*(AV$4-RES2_EFF)),0)</f>
        <v/>
      </c>
      <c r="AW20" s="29">
        <f>IF(AW$4&gt;=RES2_EFF,MIN(STEP_CAP,STEP_OPEN_OCC+STEP_STEP*RES_SPEED*(AW$4-RES2_EFF)),0)</f>
        <v/>
      </c>
      <c r="AX20" s="29">
        <f>IF(AX$4&gt;=RES2_EFF,MIN(STEP_CAP,STEP_OPEN_OCC+STEP_STEP*RES_SPEED*(AX$4-RES2_EFF)),0)</f>
        <v/>
      </c>
      <c r="AY20" s="29">
        <f>IF(AY$4&gt;=RES2_EFF,MIN(STEP_CAP,STEP_OPEN_OCC+STEP_STEP*RES_SPEED*(AY$4-RES2_EFF)),0)</f>
        <v/>
      </c>
      <c r="AZ20" s="29">
        <f>IF(AZ$4&gt;=RES2_EFF,MIN(STEP_CAP,STEP_OPEN_OCC+STEP_STEP*RES_SPEED*(AZ$4-RES2_EFF)),0)</f>
        <v/>
      </c>
      <c r="BA20" s="29">
        <f>IF(BA$4&gt;=RES2_EFF,MIN(STEP_CAP,STEP_OPEN_OCC+STEP_STEP*RES_SPEED*(BA$4-RES2_EFF)),0)</f>
        <v/>
      </c>
      <c r="BB20" s="29">
        <f>IF(BB$4&gt;=RES2_EFF,MIN(STEP_CAP,STEP_OPEN_OCC+STEP_STEP*RES_SPEED*(BB$4-RES2_EFF)),0)</f>
        <v/>
      </c>
      <c r="BC20" s="29">
        <f>IF(BC$4&gt;=RES2_EFF,MIN(STEP_CAP,STEP_OPEN_OCC+STEP_STEP*RES_SPEED*(BC$4-RES2_EFF)),0)</f>
        <v/>
      </c>
      <c r="BD20" s="29">
        <f>IF(BD$4&gt;=RES2_EFF,MIN(STEP_CAP,STEP_OPEN_OCC+STEP_STEP*RES_SPEED*(BD$4-RES2_EFF)),0)</f>
        <v/>
      </c>
      <c r="BE20" s="29">
        <f>IF(BE$4&gt;=RES2_EFF,MIN(STEP_CAP,STEP_OPEN_OCC+STEP_STEP*RES_SPEED*(BE$4-RES2_EFF)),0)</f>
        <v/>
      </c>
      <c r="BF20" s="29">
        <f>IF(BF$4&gt;=RES2_EFF,MIN(STEP_CAP,STEP_OPEN_OCC+STEP_STEP*RES_SPEED*(BF$4-RES2_EFF)),0)</f>
        <v/>
      </c>
      <c r="BG20" s="29">
        <f>IF(BG$4&gt;=RES2_EFF,MIN(STEP_CAP,STEP_OPEN_OCC+STEP_STEP*RES_SPEED*(BG$4-RES2_EFF)),0)</f>
        <v/>
      </c>
      <c r="BH20" s="29">
        <f>IF(BH$4&gt;=RES2_EFF,MIN(STEP_CAP,STEP_OPEN_OCC+STEP_STEP*RES_SPEED*(BH$4-RES2_EFF)),0)</f>
        <v/>
      </c>
      <c r="BI20" s="29">
        <f>IF(BI$4&gt;=RES2_EFF,MIN(STEP_CAP,STEP_OPEN_OCC+STEP_STEP*RES_SPEED*(BI$4-RES2_EFF)),0)</f>
        <v/>
      </c>
      <c r="BJ20" s="29">
        <f>IF(BJ$4&gt;=RES2_EFF,MIN(STEP_CAP,STEP_OPEN_OCC+STEP_STEP*RES_SPEED*(BJ$4-RES2_EFF)),0)</f>
        <v/>
      </c>
      <c r="BK20" s="29">
        <f>IF(BK$4&gt;=RES2_EFF,MIN(STEP_CAP,STEP_OPEN_OCC+STEP_STEP*RES_SPEED*(BK$4-RES2_EFF)),0)</f>
        <v/>
      </c>
    </row>
    <row r="21">
      <c r="A21" s="14" t="inlineStr">
        <is>
          <t>Residence two, palliative</t>
        </is>
      </c>
      <c r="B21" s="3" t="inlineStr">
        <is>
          <t>beds</t>
        </is>
      </c>
      <c r="C21" s="2" t="n"/>
      <c r="D21" s="29">
        <f>IF(D$4&gt;=RES2_EFF,MIN(PALL_CAP,PALL_OPEN_OCC+PALL_STEP*RES_SPEED*(D$4-RES2_EFF)),0)</f>
        <v/>
      </c>
      <c r="E21" s="29">
        <f>IF(E$4&gt;=RES2_EFF,MIN(PALL_CAP,PALL_OPEN_OCC+PALL_STEP*RES_SPEED*(E$4-RES2_EFF)),0)</f>
        <v/>
      </c>
      <c r="F21" s="29">
        <f>IF(F$4&gt;=RES2_EFF,MIN(PALL_CAP,PALL_OPEN_OCC+PALL_STEP*RES_SPEED*(F$4-RES2_EFF)),0)</f>
        <v/>
      </c>
      <c r="G21" s="29">
        <f>IF(G$4&gt;=RES2_EFF,MIN(PALL_CAP,PALL_OPEN_OCC+PALL_STEP*RES_SPEED*(G$4-RES2_EFF)),0)</f>
        <v/>
      </c>
      <c r="H21" s="29">
        <f>IF(H$4&gt;=RES2_EFF,MIN(PALL_CAP,PALL_OPEN_OCC+PALL_STEP*RES_SPEED*(H$4-RES2_EFF)),0)</f>
        <v/>
      </c>
      <c r="I21" s="29">
        <f>IF(I$4&gt;=RES2_EFF,MIN(PALL_CAP,PALL_OPEN_OCC+PALL_STEP*RES_SPEED*(I$4-RES2_EFF)),0)</f>
        <v/>
      </c>
      <c r="J21" s="29">
        <f>IF(J$4&gt;=RES2_EFF,MIN(PALL_CAP,PALL_OPEN_OCC+PALL_STEP*RES_SPEED*(J$4-RES2_EFF)),0)</f>
        <v/>
      </c>
      <c r="K21" s="29">
        <f>IF(K$4&gt;=RES2_EFF,MIN(PALL_CAP,PALL_OPEN_OCC+PALL_STEP*RES_SPEED*(K$4-RES2_EFF)),0)</f>
        <v/>
      </c>
      <c r="L21" s="29">
        <f>IF(L$4&gt;=RES2_EFF,MIN(PALL_CAP,PALL_OPEN_OCC+PALL_STEP*RES_SPEED*(L$4-RES2_EFF)),0)</f>
        <v/>
      </c>
      <c r="M21" s="29">
        <f>IF(M$4&gt;=RES2_EFF,MIN(PALL_CAP,PALL_OPEN_OCC+PALL_STEP*RES_SPEED*(M$4-RES2_EFF)),0)</f>
        <v/>
      </c>
      <c r="N21" s="29">
        <f>IF(N$4&gt;=RES2_EFF,MIN(PALL_CAP,PALL_OPEN_OCC+PALL_STEP*RES_SPEED*(N$4-RES2_EFF)),0)</f>
        <v/>
      </c>
      <c r="O21" s="29">
        <f>IF(O$4&gt;=RES2_EFF,MIN(PALL_CAP,PALL_OPEN_OCC+PALL_STEP*RES_SPEED*(O$4-RES2_EFF)),0)</f>
        <v/>
      </c>
      <c r="P21" s="29">
        <f>IF(P$4&gt;=RES2_EFF,MIN(PALL_CAP,PALL_OPEN_OCC+PALL_STEP*RES_SPEED*(P$4-RES2_EFF)),0)</f>
        <v/>
      </c>
      <c r="Q21" s="29">
        <f>IF(Q$4&gt;=RES2_EFF,MIN(PALL_CAP,PALL_OPEN_OCC+PALL_STEP*RES_SPEED*(Q$4-RES2_EFF)),0)</f>
        <v/>
      </c>
      <c r="R21" s="29">
        <f>IF(R$4&gt;=RES2_EFF,MIN(PALL_CAP,PALL_OPEN_OCC+PALL_STEP*RES_SPEED*(R$4-RES2_EFF)),0)</f>
        <v/>
      </c>
      <c r="S21" s="29">
        <f>IF(S$4&gt;=RES2_EFF,MIN(PALL_CAP,PALL_OPEN_OCC+PALL_STEP*RES_SPEED*(S$4-RES2_EFF)),0)</f>
        <v/>
      </c>
      <c r="T21" s="29">
        <f>IF(T$4&gt;=RES2_EFF,MIN(PALL_CAP,PALL_OPEN_OCC+PALL_STEP*RES_SPEED*(T$4-RES2_EFF)),0)</f>
        <v/>
      </c>
      <c r="U21" s="29">
        <f>IF(U$4&gt;=RES2_EFF,MIN(PALL_CAP,PALL_OPEN_OCC+PALL_STEP*RES_SPEED*(U$4-RES2_EFF)),0)</f>
        <v/>
      </c>
      <c r="V21" s="29">
        <f>IF(V$4&gt;=RES2_EFF,MIN(PALL_CAP,PALL_OPEN_OCC+PALL_STEP*RES_SPEED*(V$4-RES2_EFF)),0)</f>
        <v/>
      </c>
      <c r="W21" s="29">
        <f>IF(W$4&gt;=RES2_EFF,MIN(PALL_CAP,PALL_OPEN_OCC+PALL_STEP*RES_SPEED*(W$4-RES2_EFF)),0)</f>
        <v/>
      </c>
      <c r="X21" s="29">
        <f>IF(X$4&gt;=RES2_EFF,MIN(PALL_CAP,PALL_OPEN_OCC+PALL_STEP*RES_SPEED*(X$4-RES2_EFF)),0)</f>
        <v/>
      </c>
      <c r="Y21" s="29">
        <f>IF(Y$4&gt;=RES2_EFF,MIN(PALL_CAP,PALL_OPEN_OCC+PALL_STEP*RES_SPEED*(Y$4-RES2_EFF)),0)</f>
        <v/>
      </c>
      <c r="Z21" s="29">
        <f>IF(Z$4&gt;=RES2_EFF,MIN(PALL_CAP,PALL_OPEN_OCC+PALL_STEP*RES_SPEED*(Z$4-RES2_EFF)),0)</f>
        <v/>
      </c>
      <c r="AA21" s="29">
        <f>IF(AA$4&gt;=RES2_EFF,MIN(PALL_CAP,PALL_OPEN_OCC+PALL_STEP*RES_SPEED*(AA$4-RES2_EFF)),0)</f>
        <v/>
      </c>
      <c r="AB21" s="29">
        <f>IF(AB$4&gt;=RES2_EFF,MIN(PALL_CAP,PALL_OPEN_OCC+PALL_STEP*RES_SPEED*(AB$4-RES2_EFF)),0)</f>
        <v/>
      </c>
      <c r="AC21" s="29">
        <f>IF(AC$4&gt;=RES2_EFF,MIN(PALL_CAP,PALL_OPEN_OCC+PALL_STEP*RES_SPEED*(AC$4-RES2_EFF)),0)</f>
        <v/>
      </c>
      <c r="AD21" s="29">
        <f>IF(AD$4&gt;=RES2_EFF,MIN(PALL_CAP,PALL_OPEN_OCC+PALL_STEP*RES_SPEED*(AD$4-RES2_EFF)),0)</f>
        <v/>
      </c>
      <c r="AE21" s="29">
        <f>IF(AE$4&gt;=RES2_EFF,MIN(PALL_CAP,PALL_OPEN_OCC+PALL_STEP*RES_SPEED*(AE$4-RES2_EFF)),0)</f>
        <v/>
      </c>
      <c r="AF21" s="29">
        <f>IF(AF$4&gt;=RES2_EFF,MIN(PALL_CAP,PALL_OPEN_OCC+PALL_STEP*RES_SPEED*(AF$4-RES2_EFF)),0)</f>
        <v/>
      </c>
      <c r="AG21" s="29">
        <f>IF(AG$4&gt;=RES2_EFF,MIN(PALL_CAP,PALL_OPEN_OCC+PALL_STEP*RES_SPEED*(AG$4-RES2_EFF)),0)</f>
        <v/>
      </c>
      <c r="AH21" s="29">
        <f>IF(AH$4&gt;=RES2_EFF,MIN(PALL_CAP,PALL_OPEN_OCC+PALL_STEP*RES_SPEED*(AH$4-RES2_EFF)),0)</f>
        <v/>
      </c>
      <c r="AI21" s="29">
        <f>IF(AI$4&gt;=RES2_EFF,MIN(PALL_CAP,PALL_OPEN_OCC+PALL_STEP*RES_SPEED*(AI$4-RES2_EFF)),0)</f>
        <v/>
      </c>
      <c r="AJ21" s="29">
        <f>IF(AJ$4&gt;=RES2_EFF,MIN(PALL_CAP,PALL_OPEN_OCC+PALL_STEP*RES_SPEED*(AJ$4-RES2_EFF)),0)</f>
        <v/>
      </c>
      <c r="AK21" s="29">
        <f>IF(AK$4&gt;=RES2_EFF,MIN(PALL_CAP,PALL_OPEN_OCC+PALL_STEP*RES_SPEED*(AK$4-RES2_EFF)),0)</f>
        <v/>
      </c>
      <c r="AL21" s="29">
        <f>IF(AL$4&gt;=RES2_EFF,MIN(PALL_CAP,PALL_OPEN_OCC+PALL_STEP*RES_SPEED*(AL$4-RES2_EFF)),0)</f>
        <v/>
      </c>
      <c r="AM21" s="29">
        <f>IF(AM$4&gt;=RES2_EFF,MIN(PALL_CAP,PALL_OPEN_OCC+PALL_STEP*RES_SPEED*(AM$4-RES2_EFF)),0)</f>
        <v/>
      </c>
      <c r="AN21" s="29">
        <f>IF(AN$4&gt;=RES2_EFF,MIN(PALL_CAP,PALL_OPEN_OCC+PALL_STEP*RES_SPEED*(AN$4-RES2_EFF)),0)</f>
        <v/>
      </c>
      <c r="AO21" s="29">
        <f>IF(AO$4&gt;=RES2_EFF,MIN(PALL_CAP,PALL_OPEN_OCC+PALL_STEP*RES_SPEED*(AO$4-RES2_EFF)),0)</f>
        <v/>
      </c>
      <c r="AP21" s="29">
        <f>IF(AP$4&gt;=RES2_EFF,MIN(PALL_CAP,PALL_OPEN_OCC+PALL_STEP*RES_SPEED*(AP$4-RES2_EFF)),0)</f>
        <v/>
      </c>
      <c r="AQ21" s="29">
        <f>IF(AQ$4&gt;=RES2_EFF,MIN(PALL_CAP,PALL_OPEN_OCC+PALL_STEP*RES_SPEED*(AQ$4-RES2_EFF)),0)</f>
        <v/>
      </c>
      <c r="AR21" s="29">
        <f>IF(AR$4&gt;=RES2_EFF,MIN(PALL_CAP,PALL_OPEN_OCC+PALL_STEP*RES_SPEED*(AR$4-RES2_EFF)),0)</f>
        <v/>
      </c>
      <c r="AS21" s="29">
        <f>IF(AS$4&gt;=RES2_EFF,MIN(PALL_CAP,PALL_OPEN_OCC+PALL_STEP*RES_SPEED*(AS$4-RES2_EFF)),0)</f>
        <v/>
      </c>
      <c r="AT21" s="29">
        <f>IF(AT$4&gt;=RES2_EFF,MIN(PALL_CAP,PALL_OPEN_OCC+PALL_STEP*RES_SPEED*(AT$4-RES2_EFF)),0)</f>
        <v/>
      </c>
      <c r="AU21" s="29">
        <f>IF(AU$4&gt;=RES2_EFF,MIN(PALL_CAP,PALL_OPEN_OCC+PALL_STEP*RES_SPEED*(AU$4-RES2_EFF)),0)</f>
        <v/>
      </c>
      <c r="AV21" s="29">
        <f>IF(AV$4&gt;=RES2_EFF,MIN(PALL_CAP,PALL_OPEN_OCC+PALL_STEP*RES_SPEED*(AV$4-RES2_EFF)),0)</f>
        <v/>
      </c>
      <c r="AW21" s="29">
        <f>IF(AW$4&gt;=RES2_EFF,MIN(PALL_CAP,PALL_OPEN_OCC+PALL_STEP*RES_SPEED*(AW$4-RES2_EFF)),0)</f>
        <v/>
      </c>
      <c r="AX21" s="29">
        <f>IF(AX$4&gt;=RES2_EFF,MIN(PALL_CAP,PALL_OPEN_OCC+PALL_STEP*RES_SPEED*(AX$4-RES2_EFF)),0)</f>
        <v/>
      </c>
      <c r="AY21" s="29">
        <f>IF(AY$4&gt;=RES2_EFF,MIN(PALL_CAP,PALL_OPEN_OCC+PALL_STEP*RES_SPEED*(AY$4-RES2_EFF)),0)</f>
        <v/>
      </c>
      <c r="AZ21" s="29">
        <f>IF(AZ$4&gt;=RES2_EFF,MIN(PALL_CAP,PALL_OPEN_OCC+PALL_STEP*RES_SPEED*(AZ$4-RES2_EFF)),0)</f>
        <v/>
      </c>
      <c r="BA21" s="29">
        <f>IF(BA$4&gt;=RES2_EFF,MIN(PALL_CAP,PALL_OPEN_OCC+PALL_STEP*RES_SPEED*(BA$4-RES2_EFF)),0)</f>
        <v/>
      </c>
      <c r="BB21" s="29">
        <f>IF(BB$4&gt;=RES2_EFF,MIN(PALL_CAP,PALL_OPEN_OCC+PALL_STEP*RES_SPEED*(BB$4-RES2_EFF)),0)</f>
        <v/>
      </c>
      <c r="BC21" s="29">
        <f>IF(BC$4&gt;=RES2_EFF,MIN(PALL_CAP,PALL_OPEN_OCC+PALL_STEP*RES_SPEED*(BC$4-RES2_EFF)),0)</f>
        <v/>
      </c>
      <c r="BD21" s="29">
        <f>IF(BD$4&gt;=RES2_EFF,MIN(PALL_CAP,PALL_OPEN_OCC+PALL_STEP*RES_SPEED*(BD$4-RES2_EFF)),0)</f>
        <v/>
      </c>
      <c r="BE21" s="29">
        <f>IF(BE$4&gt;=RES2_EFF,MIN(PALL_CAP,PALL_OPEN_OCC+PALL_STEP*RES_SPEED*(BE$4-RES2_EFF)),0)</f>
        <v/>
      </c>
      <c r="BF21" s="29">
        <f>IF(BF$4&gt;=RES2_EFF,MIN(PALL_CAP,PALL_OPEN_OCC+PALL_STEP*RES_SPEED*(BF$4-RES2_EFF)),0)</f>
        <v/>
      </c>
      <c r="BG21" s="29">
        <f>IF(BG$4&gt;=RES2_EFF,MIN(PALL_CAP,PALL_OPEN_OCC+PALL_STEP*RES_SPEED*(BG$4-RES2_EFF)),0)</f>
        <v/>
      </c>
      <c r="BH21" s="29">
        <f>IF(BH$4&gt;=RES2_EFF,MIN(PALL_CAP,PALL_OPEN_OCC+PALL_STEP*RES_SPEED*(BH$4-RES2_EFF)),0)</f>
        <v/>
      </c>
      <c r="BI21" s="29">
        <f>IF(BI$4&gt;=RES2_EFF,MIN(PALL_CAP,PALL_OPEN_OCC+PALL_STEP*RES_SPEED*(BI$4-RES2_EFF)),0)</f>
        <v/>
      </c>
      <c r="BJ21" s="29">
        <f>IF(BJ$4&gt;=RES2_EFF,MIN(PALL_CAP,PALL_OPEN_OCC+PALL_STEP*RES_SPEED*(BJ$4-RES2_EFF)),0)</f>
        <v/>
      </c>
      <c r="BK21" s="29">
        <f>IF(BK$4&gt;=RES2_EFF,MIN(PALL_CAP,PALL_OPEN_OCC+PALL_STEP*RES_SPEED*(BK$4-RES2_EFF)),0)</f>
        <v/>
      </c>
    </row>
    <row r="22">
      <c r="A22" s="30" t="inlineStr">
        <is>
          <t>Occupied beds, both residences</t>
        </is>
      </c>
      <c r="B22" s="3" t="inlineStr">
        <is>
          <t>beds</t>
        </is>
      </c>
      <c r="C22" s="2" t="n"/>
      <c r="D22" s="31">
        <f>SUM(D16:D21)</f>
        <v/>
      </c>
      <c r="E22" s="31">
        <f>SUM(E16:E21)</f>
        <v/>
      </c>
      <c r="F22" s="31">
        <f>SUM(F16:F21)</f>
        <v/>
      </c>
      <c r="G22" s="31">
        <f>SUM(G16:G21)</f>
        <v/>
      </c>
      <c r="H22" s="31">
        <f>SUM(H16:H21)</f>
        <v/>
      </c>
      <c r="I22" s="31">
        <f>SUM(I16:I21)</f>
        <v/>
      </c>
      <c r="J22" s="31">
        <f>SUM(J16:J21)</f>
        <v/>
      </c>
      <c r="K22" s="31">
        <f>SUM(K16:K21)</f>
        <v/>
      </c>
      <c r="L22" s="31">
        <f>SUM(L16:L21)</f>
        <v/>
      </c>
      <c r="M22" s="31">
        <f>SUM(M16:M21)</f>
        <v/>
      </c>
      <c r="N22" s="31">
        <f>SUM(N16:N21)</f>
        <v/>
      </c>
      <c r="O22" s="31">
        <f>SUM(O16:O21)</f>
        <v/>
      </c>
      <c r="P22" s="31">
        <f>SUM(P16:P21)</f>
        <v/>
      </c>
      <c r="Q22" s="31">
        <f>SUM(Q16:Q21)</f>
        <v/>
      </c>
      <c r="R22" s="31">
        <f>SUM(R16:R21)</f>
        <v/>
      </c>
      <c r="S22" s="31">
        <f>SUM(S16:S21)</f>
        <v/>
      </c>
      <c r="T22" s="31">
        <f>SUM(T16:T21)</f>
        <v/>
      </c>
      <c r="U22" s="31">
        <f>SUM(U16:U21)</f>
        <v/>
      </c>
      <c r="V22" s="31">
        <f>SUM(V16:V21)</f>
        <v/>
      </c>
      <c r="W22" s="31">
        <f>SUM(W16:W21)</f>
        <v/>
      </c>
      <c r="X22" s="31">
        <f>SUM(X16:X21)</f>
        <v/>
      </c>
      <c r="Y22" s="31">
        <f>SUM(Y16:Y21)</f>
        <v/>
      </c>
      <c r="Z22" s="31">
        <f>SUM(Z16:Z21)</f>
        <v/>
      </c>
      <c r="AA22" s="31">
        <f>SUM(AA16:AA21)</f>
        <v/>
      </c>
      <c r="AB22" s="31">
        <f>SUM(AB16:AB21)</f>
        <v/>
      </c>
      <c r="AC22" s="31">
        <f>SUM(AC16:AC21)</f>
        <v/>
      </c>
      <c r="AD22" s="31">
        <f>SUM(AD16:AD21)</f>
        <v/>
      </c>
      <c r="AE22" s="31">
        <f>SUM(AE16:AE21)</f>
        <v/>
      </c>
      <c r="AF22" s="31">
        <f>SUM(AF16:AF21)</f>
        <v/>
      </c>
      <c r="AG22" s="31">
        <f>SUM(AG16:AG21)</f>
        <v/>
      </c>
      <c r="AH22" s="31">
        <f>SUM(AH16:AH21)</f>
        <v/>
      </c>
      <c r="AI22" s="31">
        <f>SUM(AI16:AI21)</f>
        <v/>
      </c>
      <c r="AJ22" s="31">
        <f>SUM(AJ16:AJ21)</f>
        <v/>
      </c>
      <c r="AK22" s="31">
        <f>SUM(AK16:AK21)</f>
        <v/>
      </c>
      <c r="AL22" s="31">
        <f>SUM(AL16:AL21)</f>
        <v/>
      </c>
      <c r="AM22" s="31">
        <f>SUM(AM16:AM21)</f>
        <v/>
      </c>
      <c r="AN22" s="31">
        <f>SUM(AN16:AN21)</f>
        <v/>
      </c>
      <c r="AO22" s="31">
        <f>SUM(AO16:AO21)</f>
        <v/>
      </c>
      <c r="AP22" s="31">
        <f>SUM(AP16:AP21)</f>
        <v/>
      </c>
      <c r="AQ22" s="31">
        <f>SUM(AQ16:AQ21)</f>
        <v/>
      </c>
      <c r="AR22" s="31">
        <f>SUM(AR16:AR21)</f>
        <v/>
      </c>
      <c r="AS22" s="31">
        <f>SUM(AS16:AS21)</f>
        <v/>
      </c>
      <c r="AT22" s="31">
        <f>SUM(AT16:AT21)</f>
        <v/>
      </c>
      <c r="AU22" s="31">
        <f>SUM(AU16:AU21)</f>
        <v/>
      </c>
      <c r="AV22" s="31">
        <f>SUM(AV16:AV21)</f>
        <v/>
      </c>
      <c r="AW22" s="31">
        <f>SUM(AW16:AW21)</f>
        <v/>
      </c>
      <c r="AX22" s="31">
        <f>SUM(AX16:AX21)</f>
        <v/>
      </c>
      <c r="AY22" s="31">
        <f>SUM(AY16:AY21)</f>
        <v/>
      </c>
      <c r="AZ22" s="31">
        <f>SUM(AZ16:AZ21)</f>
        <v/>
      </c>
      <c r="BA22" s="31">
        <f>SUM(BA16:BA21)</f>
        <v/>
      </c>
      <c r="BB22" s="31">
        <f>SUM(BB16:BB21)</f>
        <v/>
      </c>
      <c r="BC22" s="31">
        <f>SUM(BC16:BC21)</f>
        <v/>
      </c>
      <c r="BD22" s="31">
        <f>SUM(BD16:BD21)</f>
        <v/>
      </c>
      <c r="BE22" s="31">
        <f>SUM(BE16:BE21)</f>
        <v/>
      </c>
      <c r="BF22" s="31">
        <f>SUM(BF16:BF21)</f>
        <v/>
      </c>
      <c r="BG22" s="31">
        <f>SUM(BG16:BG21)</f>
        <v/>
      </c>
      <c r="BH22" s="31">
        <f>SUM(BH16:BH21)</f>
        <v/>
      </c>
      <c r="BI22" s="31">
        <f>SUM(BI16:BI21)</f>
        <v/>
      </c>
      <c r="BJ22" s="31">
        <f>SUM(BJ16:BJ21)</f>
        <v/>
      </c>
      <c r="BK22" s="31">
        <f>SUM(BK16:BK21)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</row>
    <row r="24">
      <c r="A24" s="12" t="inlineStr">
        <is>
          <t>3. Mortuary and pathology</t>
        </is>
      </c>
      <c r="B24" s="13" t="n"/>
      <c r="C24" s="1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</row>
    <row r="25">
      <c r="A25" s="14" t="inlineStr">
        <is>
          <t>Places</t>
        </is>
      </c>
      <c r="B25" s="3" t="inlineStr">
        <is>
          <t>places</t>
        </is>
      </c>
      <c r="C25" s="2" t="n"/>
      <c r="D25" s="32">
        <f>IF(D$4&gt;=MORT_EXP_M,MORT_CAP2,IF(D$4&gt;=MORT_OPEN,MORT_CAP1,0))</f>
        <v/>
      </c>
      <c r="E25" s="32">
        <f>IF(E$4&gt;=MORT_EXP_M,MORT_CAP2,IF(E$4&gt;=MORT_OPEN,MORT_CAP1,0))</f>
        <v/>
      </c>
      <c r="F25" s="32">
        <f>IF(F$4&gt;=MORT_EXP_M,MORT_CAP2,IF(F$4&gt;=MORT_OPEN,MORT_CAP1,0))</f>
        <v/>
      </c>
      <c r="G25" s="32">
        <f>IF(G$4&gt;=MORT_EXP_M,MORT_CAP2,IF(G$4&gt;=MORT_OPEN,MORT_CAP1,0))</f>
        <v/>
      </c>
      <c r="H25" s="32">
        <f>IF(H$4&gt;=MORT_EXP_M,MORT_CAP2,IF(H$4&gt;=MORT_OPEN,MORT_CAP1,0))</f>
        <v/>
      </c>
      <c r="I25" s="32">
        <f>IF(I$4&gt;=MORT_EXP_M,MORT_CAP2,IF(I$4&gt;=MORT_OPEN,MORT_CAP1,0))</f>
        <v/>
      </c>
      <c r="J25" s="32">
        <f>IF(J$4&gt;=MORT_EXP_M,MORT_CAP2,IF(J$4&gt;=MORT_OPEN,MORT_CAP1,0))</f>
        <v/>
      </c>
      <c r="K25" s="32">
        <f>IF(K$4&gt;=MORT_EXP_M,MORT_CAP2,IF(K$4&gt;=MORT_OPEN,MORT_CAP1,0))</f>
        <v/>
      </c>
      <c r="L25" s="32">
        <f>IF(L$4&gt;=MORT_EXP_M,MORT_CAP2,IF(L$4&gt;=MORT_OPEN,MORT_CAP1,0))</f>
        <v/>
      </c>
      <c r="M25" s="32">
        <f>IF(M$4&gt;=MORT_EXP_M,MORT_CAP2,IF(M$4&gt;=MORT_OPEN,MORT_CAP1,0))</f>
        <v/>
      </c>
      <c r="N25" s="32">
        <f>IF(N$4&gt;=MORT_EXP_M,MORT_CAP2,IF(N$4&gt;=MORT_OPEN,MORT_CAP1,0))</f>
        <v/>
      </c>
      <c r="O25" s="32">
        <f>IF(O$4&gt;=MORT_EXP_M,MORT_CAP2,IF(O$4&gt;=MORT_OPEN,MORT_CAP1,0))</f>
        <v/>
      </c>
      <c r="P25" s="32">
        <f>IF(P$4&gt;=MORT_EXP_M,MORT_CAP2,IF(P$4&gt;=MORT_OPEN,MORT_CAP1,0))</f>
        <v/>
      </c>
      <c r="Q25" s="32">
        <f>IF(Q$4&gt;=MORT_EXP_M,MORT_CAP2,IF(Q$4&gt;=MORT_OPEN,MORT_CAP1,0))</f>
        <v/>
      </c>
      <c r="R25" s="32">
        <f>IF(R$4&gt;=MORT_EXP_M,MORT_CAP2,IF(R$4&gt;=MORT_OPEN,MORT_CAP1,0))</f>
        <v/>
      </c>
      <c r="S25" s="32">
        <f>IF(S$4&gt;=MORT_EXP_M,MORT_CAP2,IF(S$4&gt;=MORT_OPEN,MORT_CAP1,0))</f>
        <v/>
      </c>
      <c r="T25" s="32">
        <f>IF(T$4&gt;=MORT_EXP_M,MORT_CAP2,IF(T$4&gt;=MORT_OPEN,MORT_CAP1,0))</f>
        <v/>
      </c>
      <c r="U25" s="32">
        <f>IF(U$4&gt;=MORT_EXP_M,MORT_CAP2,IF(U$4&gt;=MORT_OPEN,MORT_CAP1,0))</f>
        <v/>
      </c>
      <c r="V25" s="32">
        <f>IF(V$4&gt;=MORT_EXP_M,MORT_CAP2,IF(V$4&gt;=MORT_OPEN,MORT_CAP1,0))</f>
        <v/>
      </c>
      <c r="W25" s="32">
        <f>IF(W$4&gt;=MORT_EXP_M,MORT_CAP2,IF(W$4&gt;=MORT_OPEN,MORT_CAP1,0))</f>
        <v/>
      </c>
      <c r="X25" s="32">
        <f>IF(X$4&gt;=MORT_EXP_M,MORT_CAP2,IF(X$4&gt;=MORT_OPEN,MORT_CAP1,0))</f>
        <v/>
      </c>
      <c r="Y25" s="32">
        <f>IF(Y$4&gt;=MORT_EXP_M,MORT_CAP2,IF(Y$4&gt;=MORT_OPEN,MORT_CAP1,0))</f>
        <v/>
      </c>
      <c r="Z25" s="32">
        <f>IF(Z$4&gt;=MORT_EXP_M,MORT_CAP2,IF(Z$4&gt;=MORT_OPEN,MORT_CAP1,0))</f>
        <v/>
      </c>
      <c r="AA25" s="32">
        <f>IF(AA$4&gt;=MORT_EXP_M,MORT_CAP2,IF(AA$4&gt;=MORT_OPEN,MORT_CAP1,0))</f>
        <v/>
      </c>
      <c r="AB25" s="32">
        <f>IF(AB$4&gt;=MORT_EXP_M,MORT_CAP2,IF(AB$4&gt;=MORT_OPEN,MORT_CAP1,0))</f>
        <v/>
      </c>
      <c r="AC25" s="32">
        <f>IF(AC$4&gt;=MORT_EXP_M,MORT_CAP2,IF(AC$4&gt;=MORT_OPEN,MORT_CAP1,0))</f>
        <v/>
      </c>
      <c r="AD25" s="32">
        <f>IF(AD$4&gt;=MORT_EXP_M,MORT_CAP2,IF(AD$4&gt;=MORT_OPEN,MORT_CAP1,0))</f>
        <v/>
      </c>
      <c r="AE25" s="32">
        <f>IF(AE$4&gt;=MORT_EXP_M,MORT_CAP2,IF(AE$4&gt;=MORT_OPEN,MORT_CAP1,0))</f>
        <v/>
      </c>
      <c r="AF25" s="32">
        <f>IF(AF$4&gt;=MORT_EXP_M,MORT_CAP2,IF(AF$4&gt;=MORT_OPEN,MORT_CAP1,0))</f>
        <v/>
      </c>
      <c r="AG25" s="32">
        <f>IF(AG$4&gt;=MORT_EXP_M,MORT_CAP2,IF(AG$4&gt;=MORT_OPEN,MORT_CAP1,0))</f>
        <v/>
      </c>
      <c r="AH25" s="32">
        <f>IF(AH$4&gt;=MORT_EXP_M,MORT_CAP2,IF(AH$4&gt;=MORT_OPEN,MORT_CAP1,0))</f>
        <v/>
      </c>
      <c r="AI25" s="32">
        <f>IF(AI$4&gt;=MORT_EXP_M,MORT_CAP2,IF(AI$4&gt;=MORT_OPEN,MORT_CAP1,0))</f>
        <v/>
      </c>
      <c r="AJ25" s="32">
        <f>IF(AJ$4&gt;=MORT_EXP_M,MORT_CAP2,IF(AJ$4&gt;=MORT_OPEN,MORT_CAP1,0))</f>
        <v/>
      </c>
      <c r="AK25" s="32">
        <f>IF(AK$4&gt;=MORT_EXP_M,MORT_CAP2,IF(AK$4&gt;=MORT_OPEN,MORT_CAP1,0))</f>
        <v/>
      </c>
      <c r="AL25" s="32">
        <f>IF(AL$4&gt;=MORT_EXP_M,MORT_CAP2,IF(AL$4&gt;=MORT_OPEN,MORT_CAP1,0))</f>
        <v/>
      </c>
      <c r="AM25" s="32">
        <f>IF(AM$4&gt;=MORT_EXP_M,MORT_CAP2,IF(AM$4&gt;=MORT_OPEN,MORT_CAP1,0))</f>
        <v/>
      </c>
      <c r="AN25" s="32">
        <f>IF(AN$4&gt;=MORT_EXP_M,MORT_CAP2,IF(AN$4&gt;=MORT_OPEN,MORT_CAP1,0))</f>
        <v/>
      </c>
      <c r="AO25" s="32">
        <f>IF(AO$4&gt;=MORT_EXP_M,MORT_CAP2,IF(AO$4&gt;=MORT_OPEN,MORT_CAP1,0))</f>
        <v/>
      </c>
      <c r="AP25" s="32">
        <f>IF(AP$4&gt;=MORT_EXP_M,MORT_CAP2,IF(AP$4&gt;=MORT_OPEN,MORT_CAP1,0))</f>
        <v/>
      </c>
      <c r="AQ25" s="32">
        <f>IF(AQ$4&gt;=MORT_EXP_M,MORT_CAP2,IF(AQ$4&gt;=MORT_OPEN,MORT_CAP1,0))</f>
        <v/>
      </c>
      <c r="AR25" s="32">
        <f>IF(AR$4&gt;=MORT_EXP_M,MORT_CAP2,IF(AR$4&gt;=MORT_OPEN,MORT_CAP1,0))</f>
        <v/>
      </c>
      <c r="AS25" s="32">
        <f>IF(AS$4&gt;=MORT_EXP_M,MORT_CAP2,IF(AS$4&gt;=MORT_OPEN,MORT_CAP1,0))</f>
        <v/>
      </c>
      <c r="AT25" s="32">
        <f>IF(AT$4&gt;=MORT_EXP_M,MORT_CAP2,IF(AT$4&gt;=MORT_OPEN,MORT_CAP1,0))</f>
        <v/>
      </c>
      <c r="AU25" s="32">
        <f>IF(AU$4&gt;=MORT_EXP_M,MORT_CAP2,IF(AU$4&gt;=MORT_OPEN,MORT_CAP1,0))</f>
        <v/>
      </c>
      <c r="AV25" s="32">
        <f>IF(AV$4&gt;=MORT_EXP_M,MORT_CAP2,IF(AV$4&gt;=MORT_OPEN,MORT_CAP1,0))</f>
        <v/>
      </c>
      <c r="AW25" s="32">
        <f>IF(AW$4&gt;=MORT_EXP_M,MORT_CAP2,IF(AW$4&gt;=MORT_OPEN,MORT_CAP1,0))</f>
        <v/>
      </c>
      <c r="AX25" s="32">
        <f>IF(AX$4&gt;=MORT_EXP_M,MORT_CAP2,IF(AX$4&gt;=MORT_OPEN,MORT_CAP1,0))</f>
        <v/>
      </c>
      <c r="AY25" s="32">
        <f>IF(AY$4&gt;=MORT_EXP_M,MORT_CAP2,IF(AY$4&gt;=MORT_OPEN,MORT_CAP1,0))</f>
        <v/>
      </c>
      <c r="AZ25" s="32">
        <f>IF(AZ$4&gt;=MORT_EXP_M,MORT_CAP2,IF(AZ$4&gt;=MORT_OPEN,MORT_CAP1,0))</f>
        <v/>
      </c>
      <c r="BA25" s="32">
        <f>IF(BA$4&gt;=MORT_EXP_M,MORT_CAP2,IF(BA$4&gt;=MORT_OPEN,MORT_CAP1,0))</f>
        <v/>
      </c>
      <c r="BB25" s="32">
        <f>IF(BB$4&gt;=MORT_EXP_M,MORT_CAP2,IF(BB$4&gt;=MORT_OPEN,MORT_CAP1,0))</f>
        <v/>
      </c>
      <c r="BC25" s="32">
        <f>IF(BC$4&gt;=MORT_EXP_M,MORT_CAP2,IF(BC$4&gt;=MORT_OPEN,MORT_CAP1,0))</f>
        <v/>
      </c>
      <c r="BD25" s="32">
        <f>IF(BD$4&gt;=MORT_EXP_M,MORT_CAP2,IF(BD$4&gt;=MORT_OPEN,MORT_CAP1,0))</f>
        <v/>
      </c>
      <c r="BE25" s="32">
        <f>IF(BE$4&gt;=MORT_EXP_M,MORT_CAP2,IF(BE$4&gt;=MORT_OPEN,MORT_CAP1,0))</f>
        <v/>
      </c>
      <c r="BF25" s="32">
        <f>IF(BF$4&gt;=MORT_EXP_M,MORT_CAP2,IF(BF$4&gt;=MORT_OPEN,MORT_CAP1,0))</f>
        <v/>
      </c>
      <c r="BG25" s="32">
        <f>IF(BG$4&gt;=MORT_EXP_M,MORT_CAP2,IF(BG$4&gt;=MORT_OPEN,MORT_CAP1,0))</f>
        <v/>
      </c>
      <c r="BH25" s="32">
        <f>IF(BH$4&gt;=MORT_EXP_M,MORT_CAP2,IF(BH$4&gt;=MORT_OPEN,MORT_CAP1,0))</f>
        <v/>
      </c>
      <c r="BI25" s="32">
        <f>IF(BI$4&gt;=MORT_EXP_M,MORT_CAP2,IF(BI$4&gt;=MORT_OPEN,MORT_CAP1,0))</f>
        <v/>
      </c>
      <c r="BJ25" s="32">
        <f>IF(BJ$4&gt;=MORT_EXP_M,MORT_CAP2,IF(BJ$4&gt;=MORT_OPEN,MORT_CAP1,0))</f>
        <v/>
      </c>
      <c r="BK25" s="32">
        <f>IF(BK$4&gt;=MORT_EXP_M,MORT_CAP2,IF(BK$4&gt;=MORT_OPEN,MORT_CAP1,0))</f>
        <v/>
      </c>
    </row>
    <row r="26">
      <c r="A26" s="14" t="inlineStr">
        <is>
          <t>Bodies held on an average day</t>
        </is>
      </c>
      <c r="B26" s="3" t="inlineStr">
        <is>
          <t>bodies</t>
        </is>
      </c>
      <c r="C26" s="2" t="n"/>
      <c r="D26" s="29">
        <f>IF(D$4&gt;=MORT_OPEN,MIN(D25*MORT_FILL,MORT_HELD_OPEN+MORT_HELD_STEP*MORT_SPEED*(D$4-MORT_OPEN)),0)</f>
        <v/>
      </c>
      <c r="E26" s="29">
        <f>IF(E$4&gt;=MORT_OPEN,MIN(E25*MORT_FILL,MORT_HELD_OPEN+MORT_HELD_STEP*MORT_SPEED*(E$4-MORT_OPEN)),0)</f>
        <v/>
      </c>
      <c r="F26" s="29">
        <f>IF(F$4&gt;=MORT_OPEN,MIN(F25*MORT_FILL,MORT_HELD_OPEN+MORT_HELD_STEP*MORT_SPEED*(F$4-MORT_OPEN)),0)</f>
        <v/>
      </c>
      <c r="G26" s="29">
        <f>IF(G$4&gt;=MORT_OPEN,MIN(G25*MORT_FILL,MORT_HELD_OPEN+MORT_HELD_STEP*MORT_SPEED*(G$4-MORT_OPEN)),0)</f>
        <v/>
      </c>
      <c r="H26" s="29">
        <f>IF(H$4&gt;=MORT_OPEN,MIN(H25*MORT_FILL,MORT_HELD_OPEN+MORT_HELD_STEP*MORT_SPEED*(H$4-MORT_OPEN)),0)</f>
        <v/>
      </c>
      <c r="I26" s="29">
        <f>IF(I$4&gt;=MORT_OPEN,MIN(I25*MORT_FILL,MORT_HELD_OPEN+MORT_HELD_STEP*MORT_SPEED*(I$4-MORT_OPEN)),0)</f>
        <v/>
      </c>
      <c r="J26" s="29">
        <f>IF(J$4&gt;=MORT_OPEN,MIN(J25*MORT_FILL,MORT_HELD_OPEN+MORT_HELD_STEP*MORT_SPEED*(J$4-MORT_OPEN)),0)</f>
        <v/>
      </c>
      <c r="K26" s="29">
        <f>IF(K$4&gt;=MORT_OPEN,MIN(K25*MORT_FILL,MORT_HELD_OPEN+MORT_HELD_STEP*MORT_SPEED*(K$4-MORT_OPEN)),0)</f>
        <v/>
      </c>
      <c r="L26" s="29">
        <f>IF(L$4&gt;=MORT_OPEN,MIN(L25*MORT_FILL,MORT_HELD_OPEN+MORT_HELD_STEP*MORT_SPEED*(L$4-MORT_OPEN)),0)</f>
        <v/>
      </c>
      <c r="M26" s="29">
        <f>IF(M$4&gt;=MORT_OPEN,MIN(M25*MORT_FILL,MORT_HELD_OPEN+MORT_HELD_STEP*MORT_SPEED*(M$4-MORT_OPEN)),0)</f>
        <v/>
      </c>
      <c r="N26" s="29">
        <f>IF(N$4&gt;=MORT_OPEN,MIN(N25*MORT_FILL,MORT_HELD_OPEN+MORT_HELD_STEP*MORT_SPEED*(N$4-MORT_OPEN)),0)</f>
        <v/>
      </c>
      <c r="O26" s="29">
        <f>IF(O$4&gt;=MORT_OPEN,MIN(O25*MORT_FILL,MORT_HELD_OPEN+MORT_HELD_STEP*MORT_SPEED*(O$4-MORT_OPEN)),0)</f>
        <v/>
      </c>
      <c r="P26" s="29">
        <f>IF(P$4&gt;=MORT_OPEN,MIN(P25*MORT_FILL,MORT_HELD_OPEN+MORT_HELD_STEP*MORT_SPEED*(P$4-MORT_OPEN)),0)</f>
        <v/>
      </c>
      <c r="Q26" s="29">
        <f>IF(Q$4&gt;=MORT_OPEN,MIN(Q25*MORT_FILL,MORT_HELD_OPEN+MORT_HELD_STEP*MORT_SPEED*(Q$4-MORT_OPEN)),0)</f>
        <v/>
      </c>
      <c r="R26" s="29">
        <f>IF(R$4&gt;=MORT_OPEN,MIN(R25*MORT_FILL,MORT_HELD_OPEN+MORT_HELD_STEP*MORT_SPEED*(R$4-MORT_OPEN)),0)</f>
        <v/>
      </c>
      <c r="S26" s="29">
        <f>IF(S$4&gt;=MORT_OPEN,MIN(S25*MORT_FILL,MORT_HELD_OPEN+MORT_HELD_STEP*MORT_SPEED*(S$4-MORT_OPEN)),0)</f>
        <v/>
      </c>
      <c r="T26" s="29">
        <f>IF(T$4&gt;=MORT_OPEN,MIN(T25*MORT_FILL,MORT_HELD_OPEN+MORT_HELD_STEP*MORT_SPEED*(T$4-MORT_OPEN)),0)</f>
        <v/>
      </c>
      <c r="U26" s="29">
        <f>IF(U$4&gt;=MORT_OPEN,MIN(U25*MORT_FILL,MORT_HELD_OPEN+MORT_HELD_STEP*MORT_SPEED*(U$4-MORT_OPEN)),0)</f>
        <v/>
      </c>
      <c r="V26" s="29">
        <f>IF(V$4&gt;=MORT_OPEN,MIN(V25*MORT_FILL,MORT_HELD_OPEN+MORT_HELD_STEP*MORT_SPEED*(V$4-MORT_OPEN)),0)</f>
        <v/>
      </c>
      <c r="W26" s="29">
        <f>IF(W$4&gt;=MORT_OPEN,MIN(W25*MORT_FILL,MORT_HELD_OPEN+MORT_HELD_STEP*MORT_SPEED*(W$4-MORT_OPEN)),0)</f>
        <v/>
      </c>
      <c r="X26" s="29">
        <f>IF(X$4&gt;=MORT_OPEN,MIN(X25*MORT_FILL,MORT_HELD_OPEN+MORT_HELD_STEP*MORT_SPEED*(X$4-MORT_OPEN)),0)</f>
        <v/>
      </c>
      <c r="Y26" s="29">
        <f>IF(Y$4&gt;=MORT_OPEN,MIN(Y25*MORT_FILL,MORT_HELD_OPEN+MORT_HELD_STEP*MORT_SPEED*(Y$4-MORT_OPEN)),0)</f>
        <v/>
      </c>
      <c r="Z26" s="29">
        <f>IF(Z$4&gt;=MORT_OPEN,MIN(Z25*MORT_FILL,MORT_HELD_OPEN+MORT_HELD_STEP*MORT_SPEED*(Z$4-MORT_OPEN)),0)</f>
        <v/>
      </c>
      <c r="AA26" s="29">
        <f>IF(AA$4&gt;=MORT_OPEN,MIN(AA25*MORT_FILL,MORT_HELD_OPEN+MORT_HELD_STEP*MORT_SPEED*(AA$4-MORT_OPEN)),0)</f>
        <v/>
      </c>
      <c r="AB26" s="29">
        <f>IF(AB$4&gt;=MORT_OPEN,MIN(AB25*MORT_FILL,MORT_HELD_OPEN+MORT_HELD_STEP*MORT_SPEED*(AB$4-MORT_OPEN)),0)</f>
        <v/>
      </c>
      <c r="AC26" s="29">
        <f>IF(AC$4&gt;=MORT_OPEN,MIN(AC25*MORT_FILL,MORT_HELD_OPEN+MORT_HELD_STEP*MORT_SPEED*(AC$4-MORT_OPEN)),0)</f>
        <v/>
      </c>
      <c r="AD26" s="29">
        <f>IF(AD$4&gt;=MORT_OPEN,MIN(AD25*MORT_FILL,MORT_HELD_OPEN+MORT_HELD_STEP*MORT_SPEED*(AD$4-MORT_OPEN)),0)</f>
        <v/>
      </c>
      <c r="AE26" s="29">
        <f>IF(AE$4&gt;=MORT_OPEN,MIN(AE25*MORT_FILL,MORT_HELD_OPEN+MORT_HELD_STEP*MORT_SPEED*(AE$4-MORT_OPEN)),0)</f>
        <v/>
      </c>
      <c r="AF26" s="29">
        <f>IF(AF$4&gt;=MORT_OPEN,MIN(AF25*MORT_FILL,MORT_HELD_OPEN+MORT_HELD_STEP*MORT_SPEED*(AF$4-MORT_OPEN)),0)</f>
        <v/>
      </c>
      <c r="AG26" s="29">
        <f>IF(AG$4&gt;=MORT_OPEN,MIN(AG25*MORT_FILL,MORT_HELD_OPEN+MORT_HELD_STEP*MORT_SPEED*(AG$4-MORT_OPEN)),0)</f>
        <v/>
      </c>
      <c r="AH26" s="29">
        <f>IF(AH$4&gt;=MORT_OPEN,MIN(AH25*MORT_FILL,MORT_HELD_OPEN+MORT_HELD_STEP*MORT_SPEED*(AH$4-MORT_OPEN)),0)</f>
        <v/>
      </c>
      <c r="AI26" s="29">
        <f>IF(AI$4&gt;=MORT_OPEN,MIN(AI25*MORT_FILL,MORT_HELD_OPEN+MORT_HELD_STEP*MORT_SPEED*(AI$4-MORT_OPEN)),0)</f>
        <v/>
      </c>
      <c r="AJ26" s="29">
        <f>IF(AJ$4&gt;=MORT_OPEN,MIN(AJ25*MORT_FILL,MORT_HELD_OPEN+MORT_HELD_STEP*MORT_SPEED*(AJ$4-MORT_OPEN)),0)</f>
        <v/>
      </c>
      <c r="AK26" s="29">
        <f>IF(AK$4&gt;=MORT_OPEN,MIN(AK25*MORT_FILL,MORT_HELD_OPEN+MORT_HELD_STEP*MORT_SPEED*(AK$4-MORT_OPEN)),0)</f>
        <v/>
      </c>
      <c r="AL26" s="29">
        <f>IF(AL$4&gt;=MORT_OPEN,MIN(AL25*MORT_FILL,MORT_HELD_OPEN+MORT_HELD_STEP*MORT_SPEED*(AL$4-MORT_OPEN)),0)</f>
        <v/>
      </c>
      <c r="AM26" s="29">
        <f>IF(AM$4&gt;=MORT_OPEN,MIN(AM25*MORT_FILL,MORT_HELD_OPEN+MORT_HELD_STEP*MORT_SPEED*(AM$4-MORT_OPEN)),0)</f>
        <v/>
      </c>
      <c r="AN26" s="29">
        <f>IF(AN$4&gt;=MORT_OPEN,MIN(AN25*MORT_FILL,MORT_HELD_OPEN+MORT_HELD_STEP*MORT_SPEED*(AN$4-MORT_OPEN)),0)</f>
        <v/>
      </c>
      <c r="AO26" s="29">
        <f>IF(AO$4&gt;=MORT_OPEN,MIN(AO25*MORT_FILL,MORT_HELD_OPEN+MORT_HELD_STEP*MORT_SPEED*(AO$4-MORT_OPEN)),0)</f>
        <v/>
      </c>
      <c r="AP26" s="29">
        <f>IF(AP$4&gt;=MORT_OPEN,MIN(AP25*MORT_FILL,MORT_HELD_OPEN+MORT_HELD_STEP*MORT_SPEED*(AP$4-MORT_OPEN)),0)</f>
        <v/>
      </c>
      <c r="AQ26" s="29">
        <f>IF(AQ$4&gt;=MORT_OPEN,MIN(AQ25*MORT_FILL,MORT_HELD_OPEN+MORT_HELD_STEP*MORT_SPEED*(AQ$4-MORT_OPEN)),0)</f>
        <v/>
      </c>
      <c r="AR26" s="29">
        <f>IF(AR$4&gt;=MORT_OPEN,MIN(AR25*MORT_FILL,MORT_HELD_OPEN+MORT_HELD_STEP*MORT_SPEED*(AR$4-MORT_OPEN)),0)</f>
        <v/>
      </c>
      <c r="AS26" s="29">
        <f>IF(AS$4&gt;=MORT_OPEN,MIN(AS25*MORT_FILL,MORT_HELD_OPEN+MORT_HELD_STEP*MORT_SPEED*(AS$4-MORT_OPEN)),0)</f>
        <v/>
      </c>
      <c r="AT26" s="29">
        <f>IF(AT$4&gt;=MORT_OPEN,MIN(AT25*MORT_FILL,MORT_HELD_OPEN+MORT_HELD_STEP*MORT_SPEED*(AT$4-MORT_OPEN)),0)</f>
        <v/>
      </c>
      <c r="AU26" s="29">
        <f>IF(AU$4&gt;=MORT_OPEN,MIN(AU25*MORT_FILL,MORT_HELD_OPEN+MORT_HELD_STEP*MORT_SPEED*(AU$4-MORT_OPEN)),0)</f>
        <v/>
      </c>
      <c r="AV26" s="29">
        <f>IF(AV$4&gt;=MORT_OPEN,MIN(AV25*MORT_FILL,MORT_HELD_OPEN+MORT_HELD_STEP*MORT_SPEED*(AV$4-MORT_OPEN)),0)</f>
        <v/>
      </c>
      <c r="AW26" s="29">
        <f>IF(AW$4&gt;=MORT_OPEN,MIN(AW25*MORT_FILL,MORT_HELD_OPEN+MORT_HELD_STEP*MORT_SPEED*(AW$4-MORT_OPEN)),0)</f>
        <v/>
      </c>
      <c r="AX26" s="29">
        <f>IF(AX$4&gt;=MORT_OPEN,MIN(AX25*MORT_FILL,MORT_HELD_OPEN+MORT_HELD_STEP*MORT_SPEED*(AX$4-MORT_OPEN)),0)</f>
        <v/>
      </c>
      <c r="AY26" s="29">
        <f>IF(AY$4&gt;=MORT_OPEN,MIN(AY25*MORT_FILL,MORT_HELD_OPEN+MORT_HELD_STEP*MORT_SPEED*(AY$4-MORT_OPEN)),0)</f>
        <v/>
      </c>
      <c r="AZ26" s="29">
        <f>IF(AZ$4&gt;=MORT_OPEN,MIN(AZ25*MORT_FILL,MORT_HELD_OPEN+MORT_HELD_STEP*MORT_SPEED*(AZ$4-MORT_OPEN)),0)</f>
        <v/>
      </c>
      <c r="BA26" s="29">
        <f>IF(BA$4&gt;=MORT_OPEN,MIN(BA25*MORT_FILL,MORT_HELD_OPEN+MORT_HELD_STEP*MORT_SPEED*(BA$4-MORT_OPEN)),0)</f>
        <v/>
      </c>
      <c r="BB26" s="29">
        <f>IF(BB$4&gt;=MORT_OPEN,MIN(BB25*MORT_FILL,MORT_HELD_OPEN+MORT_HELD_STEP*MORT_SPEED*(BB$4-MORT_OPEN)),0)</f>
        <v/>
      </c>
      <c r="BC26" s="29">
        <f>IF(BC$4&gt;=MORT_OPEN,MIN(BC25*MORT_FILL,MORT_HELD_OPEN+MORT_HELD_STEP*MORT_SPEED*(BC$4-MORT_OPEN)),0)</f>
        <v/>
      </c>
      <c r="BD26" s="29">
        <f>IF(BD$4&gt;=MORT_OPEN,MIN(BD25*MORT_FILL,MORT_HELD_OPEN+MORT_HELD_STEP*MORT_SPEED*(BD$4-MORT_OPEN)),0)</f>
        <v/>
      </c>
      <c r="BE26" s="29">
        <f>IF(BE$4&gt;=MORT_OPEN,MIN(BE25*MORT_FILL,MORT_HELD_OPEN+MORT_HELD_STEP*MORT_SPEED*(BE$4-MORT_OPEN)),0)</f>
        <v/>
      </c>
      <c r="BF26" s="29">
        <f>IF(BF$4&gt;=MORT_OPEN,MIN(BF25*MORT_FILL,MORT_HELD_OPEN+MORT_HELD_STEP*MORT_SPEED*(BF$4-MORT_OPEN)),0)</f>
        <v/>
      </c>
      <c r="BG26" s="29">
        <f>IF(BG$4&gt;=MORT_OPEN,MIN(BG25*MORT_FILL,MORT_HELD_OPEN+MORT_HELD_STEP*MORT_SPEED*(BG$4-MORT_OPEN)),0)</f>
        <v/>
      </c>
      <c r="BH26" s="29">
        <f>IF(BH$4&gt;=MORT_OPEN,MIN(BH25*MORT_FILL,MORT_HELD_OPEN+MORT_HELD_STEP*MORT_SPEED*(BH$4-MORT_OPEN)),0)</f>
        <v/>
      </c>
      <c r="BI26" s="29">
        <f>IF(BI$4&gt;=MORT_OPEN,MIN(BI25*MORT_FILL,MORT_HELD_OPEN+MORT_HELD_STEP*MORT_SPEED*(BI$4-MORT_OPEN)),0)</f>
        <v/>
      </c>
      <c r="BJ26" s="29">
        <f>IF(BJ$4&gt;=MORT_OPEN,MIN(BJ25*MORT_FILL,MORT_HELD_OPEN+MORT_HELD_STEP*MORT_SPEED*(BJ$4-MORT_OPEN)),0)</f>
        <v/>
      </c>
      <c r="BK26" s="29">
        <f>IF(BK$4&gt;=MORT_OPEN,MIN(BK25*MORT_FILL,MORT_HELD_OPEN+MORT_HELD_STEP*MORT_SPEED*(BK$4-MORT_OPEN)),0)</f>
        <v/>
      </c>
    </row>
    <row r="27">
      <c r="A27" s="14" t="inlineStr">
        <is>
          <t>Families served</t>
        </is>
      </c>
      <c r="B27" s="3" t="inlineStr">
        <is>
          <t>a month</t>
        </is>
      </c>
      <c r="C27" s="2" t="n"/>
      <c r="D27" s="29">
        <f>D26*DAYS_PM/MORT_STAY</f>
        <v/>
      </c>
      <c r="E27" s="29">
        <f>E26*DAYS_PM/MORT_STAY</f>
        <v/>
      </c>
      <c r="F27" s="29">
        <f>F26*DAYS_PM/MORT_STAY</f>
        <v/>
      </c>
      <c r="G27" s="29">
        <f>G26*DAYS_PM/MORT_STAY</f>
        <v/>
      </c>
      <c r="H27" s="29">
        <f>H26*DAYS_PM/MORT_STAY</f>
        <v/>
      </c>
      <c r="I27" s="29">
        <f>I26*DAYS_PM/MORT_STAY</f>
        <v/>
      </c>
      <c r="J27" s="29">
        <f>J26*DAYS_PM/MORT_STAY</f>
        <v/>
      </c>
      <c r="K27" s="29">
        <f>K26*DAYS_PM/MORT_STAY</f>
        <v/>
      </c>
      <c r="L27" s="29">
        <f>L26*DAYS_PM/MORT_STAY</f>
        <v/>
      </c>
      <c r="M27" s="29">
        <f>M26*DAYS_PM/MORT_STAY</f>
        <v/>
      </c>
      <c r="N27" s="29">
        <f>N26*DAYS_PM/MORT_STAY</f>
        <v/>
      </c>
      <c r="O27" s="29">
        <f>O26*DAYS_PM/MORT_STAY</f>
        <v/>
      </c>
      <c r="P27" s="29">
        <f>P26*DAYS_PM/MORT_STAY</f>
        <v/>
      </c>
      <c r="Q27" s="29">
        <f>Q26*DAYS_PM/MORT_STAY</f>
        <v/>
      </c>
      <c r="R27" s="29">
        <f>R26*DAYS_PM/MORT_STAY</f>
        <v/>
      </c>
      <c r="S27" s="29">
        <f>S26*DAYS_PM/MORT_STAY</f>
        <v/>
      </c>
      <c r="T27" s="29">
        <f>T26*DAYS_PM/MORT_STAY</f>
        <v/>
      </c>
      <c r="U27" s="29">
        <f>U26*DAYS_PM/MORT_STAY</f>
        <v/>
      </c>
      <c r="V27" s="29">
        <f>V26*DAYS_PM/MORT_STAY</f>
        <v/>
      </c>
      <c r="W27" s="29">
        <f>W26*DAYS_PM/MORT_STAY</f>
        <v/>
      </c>
      <c r="X27" s="29">
        <f>X26*DAYS_PM/MORT_STAY</f>
        <v/>
      </c>
      <c r="Y27" s="29">
        <f>Y26*DAYS_PM/MORT_STAY</f>
        <v/>
      </c>
      <c r="Z27" s="29">
        <f>Z26*DAYS_PM/MORT_STAY</f>
        <v/>
      </c>
      <c r="AA27" s="29">
        <f>AA26*DAYS_PM/MORT_STAY</f>
        <v/>
      </c>
      <c r="AB27" s="29">
        <f>AB26*DAYS_PM/MORT_STAY</f>
        <v/>
      </c>
      <c r="AC27" s="29">
        <f>AC26*DAYS_PM/MORT_STAY</f>
        <v/>
      </c>
      <c r="AD27" s="29">
        <f>AD26*DAYS_PM/MORT_STAY</f>
        <v/>
      </c>
      <c r="AE27" s="29">
        <f>AE26*DAYS_PM/MORT_STAY</f>
        <v/>
      </c>
      <c r="AF27" s="29">
        <f>AF26*DAYS_PM/MORT_STAY</f>
        <v/>
      </c>
      <c r="AG27" s="29">
        <f>AG26*DAYS_PM/MORT_STAY</f>
        <v/>
      </c>
      <c r="AH27" s="29">
        <f>AH26*DAYS_PM/MORT_STAY</f>
        <v/>
      </c>
      <c r="AI27" s="29">
        <f>AI26*DAYS_PM/MORT_STAY</f>
        <v/>
      </c>
      <c r="AJ27" s="29">
        <f>AJ26*DAYS_PM/MORT_STAY</f>
        <v/>
      </c>
      <c r="AK27" s="29">
        <f>AK26*DAYS_PM/MORT_STAY</f>
        <v/>
      </c>
      <c r="AL27" s="29">
        <f>AL26*DAYS_PM/MORT_STAY</f>
        <v/>
      </c>
      <c r="AM27" s="29">
        <f>AM26*DAYS_PM/MORT_STAY</f>
        <v/>
      </c>
      <c r="AN27" s="29">
        <f>AN26*DAYS_PM/MORT_STAY</f>
        <v/>
      </c>
      <c r="AO27" s="29">
        <f>AO26*DAYS_PM/MORT_STAY</f>
        <v/>
      </c>
      <c r="AP27" s="29">
        <f>AP26*DAYS_PM/MORT_STAY</f>
        <v/>
      </c>
      <c r="AQ27" s="29">
        <f>AQ26*DAYS_PM/MORT_STAY</f>
        <v/>
      </c>
      <c r="AR27" s="29">
        <f>AR26*DAYS_PM/MORT_STAY</f>
        <v/>
      </c>
      <c r="AS27" s="29">
        <f>AS26*DAYS_PM/MORT_STAY</f>
        <v/>
      </c>
      <c r="AT27" s="29">
        <f>AT26*DAYS_PM/MORT_STAY</f>
        <v/>
      </c>
      <c r="AU27" s="29">
        <f>AU26*DAYS_PM/MORT_STAY</f>
        <v/>
      </c>
      <c r="AV27" s="29">
        <f>AV26*DAYS_PM/MORT_STAY</f>
        <v/>
      </c>
      <c r="AW27" s="29">
        <f>AW26*DAYS_PM/MORT_STAY</f>
        <v/>
      </c>
      <c r="AX27" s="29">
        <f>AX26*DAYS_PM/MORT_STAY</f>
        <v/>
      </c>
      <c r="AY27" s="29">
        <f>AY26*DAYS_PM/MORT_STAY</f>
        <v/>
      </c>
      <c r="AZ27" s="29">
        <f>AZ26*DAYS_PM/MORT_STAY</f>
        <v/>
      </c>
      <c r="BA27" s="29">
        <f>BA26*DAYS_PM/MORT_STAY</f>
        <v/>
      </c>
      <c r="BB27" s="29">
        <f>BB26*DAYS_PM/MORT_STAY</f>
        <v/>
      </c>
      <c r="BC27" s="29">
        <f>BC26*DAYS_PM/MORT_STAY</f>
        <v/>
      </c>
      <c r="BD27" s="29">
        <f>BD26*DAYS_PM/MORT_STAY</f>
        <v/>
      </c>
      <c r="BE27" s="29">
        <f>BE26*DAYS_PM/MORT_STAY</f>
        <v/>
      </c>
      <c r="BF27" s="29">
        <f>BF26*DAYS_PM/MORT_STAY</f>
        <v/>
      </c>
      <c r="BG27" s="29">
        <f>BG26*DAYS_PM/MORT_STAY</f>
        <v/>
      </c>
      <c r="BH27" s="29">
        <f>BH26*DAYS_PM/MORT_STAY</f>
        <v/>
      </c>
      <c r="BI27" s="29">
        <f>BI26*DAYS_PM/MORT_STAY</f>
        <v/>
      </c>
      <c r="BJ27" s="29">
        <f>BJ26*DAYS_PM/MORT_STAY</f>
        <v/>
      </c>
      <c r="BK27" s="29">
        <f>BK26*DAYS_PM/MORT_STAY</f>
        <v/>
      </c>
    </row>
    <row r="28">
      <c r="A28" s="14" t="inlineStr">
        <is>
          <t>Remains received from abroad</t>
        </is>
      </c>
      <c r="B28" s="3" t="inlineStr">
        <is>
          <t>a month</t>
        </is>
      </c>
      <c r="C28" s="2" t="n"/>
      <c r="D28" s="29">
        <f>IF(D$4&gt;=MORT_OPEN,IF(D$4&lt;REPAT_M1,0,IF(D$4&lt;=REPAT_M2,REPAT_V1+(REPAT_V2-REPAT_V1)*(D$4-REPAT_M1)/(REPAT_M2-REPAT_M1),IF(D$4&lt;=REPAT_M3,REPAT_V2+(REPAT_V3-REPAT_V2)*(D$4-REPAT_M2)/(REPAT_M3-REPAT_M2),REPAT_V3))),0)</f>
        <v/>
      </c>
      <c r="E28" s="29">
        <f>IF(E$4&gt;=MORT_OPEN,IF(E$4&lt;REPAT_M1,0,IF(E$4&lt;=REPAT_M2,REPAT_V1+(REPAT_V2-REPAT_V1)*(E$4-REPAT_M1)/(REPAT_M2-REPAT_M1),IF(E$4&lt;=REPAT_M3,REPAT_V2+(REPAT_V3-REPAT_V2)*(E$4-REPAT_M2)/(REPAT_M3-REPAT_M2),REPAT_V3))),0)</f>
        <v/>
      </c>
      <c r="F28" s="29">
        <f>IF(F$4&gt;=MORT_OPEN,IF(F$4&lt;REPAT_M1,0,IF(F$4&lt;=REPAT_M2,REPAT_V1+(REPAT_V2-REPAT_V1)*(F$4-REPAT_M1)/(REPAT_M2-REPAT_M1),IF(F$4&lt;=REPAT_M3,REPAT_V2+(REPAT_V3-REPAT_V2)*(F$4-REPAT_M2)/(REPAT_M3-REPAT_M2),REPAT_V3))),0)</f>
        <v/>
      </c>
      <c r="G28" s="29">
        <f>IF(G$4&gt;=MORT_OPEN,IF(G$4&lt;REPAT_M1,0,IF(G$4&lt;=REPAT_M2,REPAT_V1+(REPAT_V2-REPAT_V1)*(G$4-REPAT_M1)/(REPAT_M2-REPAT_M1),IF(G$4&lt;=REPAT_M3,REPAT_V2+(REPAT_V3-REPAT_V2)*(G$4-REPAT_M2)/(REPAT_M3-REPAT_M2),REPAT_V3))),0)</f>
        <v/>
      </c>
      <c r="H28" s="29">
        <f>IF(H$4&gt;=MORT_OPEN,IF(H$4&lt;REPAT_M1,0,IF(H$4&lt;=REPAT_M2,REPAT_V1+(REPAT_V2-REPAT_V1)*(H$4-REPAT_M1)/(REPAT_M2-REPAT_M1),IF(H$4&lt;=REPAT_M3,REPAT_V2+(REPAT_V3-REPAT_V2)*(H$4-REPAT_M2)/(REPAT_M3-REPAT_M2),REPAT_V3))),0)</f>
        <v/>
      </c>
      <c r="I28" s="29">
        <f>IF(I$4&gt;=MORT_OPEN,IF(I$4&lt;REPAT_M1,0,IF(I$4&lt;=REPAT_M2,REPAT_V1+(REPAT_V2-REPAT_V1)*(I$4-REPAT_M1)/(REPAT_M2-REPAT_M1),IF(I$4&lt;=REPAT_M3,REPAT_V2+(REPAT_V3-REPAT_V2)*(I$4-REPAT_M2)/(REPAT_M3-REPAT_M2),REPAT_V3))),0)</f>
        <v/>
      </c>
      <c r="J28" s="29">
        <f>IF(J$4&gt;=MORT_OPEN,IF(J$4&lt;REPAT_M1,0,IF(J$4&lt;=REPAT_M2,REPAT_V1+(REPAT_V2-REPAT_V1)*(J$4-REPAT_M1)/(REPAT_M2-REPAT_M1),IF(J$4&lt;=REPAT_M3,REPAT_V2+(REPAT_V3-REPAT_V2)*(J$4-REPAT_M2)/(REPAT_M3-REPAT_M2),REPAT_V3))),0)</f>
        <v/>
      </c>
      <c r="K28" s="29">
        <f>IF(K$4&gt;=MORT_OPEN,IF(K$4&lt;REPAT_M1,0,IF(K$4&lt;=REPAT_M2,REPAT_V1+(REPAT_V2-REPAT_V1)*(K$4-REPAT_M1)/(REPAT_M2-REPAT_M1),IF(K$4&lt;=REPAT_M3,REPAT_V2+(REPAT_V3-REPAT_V2)*(K$4-REPAT_M2)/(REPAT_M3-REPAT_M2),REPAT_V3))),0)</f>
        <v/>
      </c>
      <c r="L28" s="29">
        <f>IF(L$4&gt;=MORT_OPEN,IF(L$4&lt;REPAT_M1,0,IF(L$4&lt;=REPAT_M2,REPAT_V1+(REPAT_V2-REPAT_V1)*(L$4-REPAT_M1)/(REPAT_M2-REPAT_M1),IF(L$4&lt;=REPAT_M3,REPAT_V2+(REPAT_V3-REPAT_V2)*(L$4-REPAT_M2)/(REPAT_M3-REPAT_M2),REPAT_V3))),0)</f>
        <v/>
      </c>
      <c r="M28" s="29">
        <f>IF(M$4&gt;=MORT_OPEN,IF(M$4&lt;REPAT_M1,0,IF(M$4&lt;=REPAT_M2,REPAT_V1+(REPAT_V2-REPAT_V1)*(M$4-REPAT_M1)/(REPAT_M2-REPAT_M1),IF(M$4&lt;=REPAT_M3,REPAT_V2+(REPAT_V3-REPAT_V2)*(M$4-REPAT_M2)/(REPAT_M3-REPAT_M2),REPAT_V3))),0)</f>
        <v/>
      </c>
      <c r="N28" s="29">
        <f>IF(N$4&gt;=MORT_OPEN,IF(N$4&lt;REPAT_M1,0,IF(N$4&lt;=REPAT_M2,REPAT_V1+(REPAT_V2-REPAT_V1)*(N$4-REPAT_M1)/(REPAT_M2-REPAT_M1),IF(N$4&lt;=REPAT_M3,REPAT_V2+(REPAT_V3-REPAT_V2)*(N$4-REPAT_M2)/(REPAT_M3-REPAT_M2),REPAT_V3))),0)</f>
        <v/>
      </c>
      <c r="O28" s="29">
        <f>IF(O$4&gt;=MORT_OPEN,IF(O$4&lt;REPAT_M1,0,IF(O$4&lt;=REPAT_M2,REPAT_V1+(REPAT_V2-REPAT_V1)*(O$4-REPAT_M1)/(REPAT_M2-REPAT_M1),IF(O$4&lt;=REPAT_M3,REPAT_V2+(REPAT_V3-REPAT_V2)*(O$4-REPAT_M2)/(REPAT_M3-REPAT_M2),REPAT_V3))),0)</f>
        <v/>
      </c>
      <c r="P28" s="29">
        <f>IF(P$4&gt;=MORT_OPEN,IF(P$4&lt;REPAT_M1,0,IF(P$4&lt;=REPAT_M2,REPAT_V1+(REPAT_V2-REPAT_V1)*(P$4-REPAT_M1)/(REPAT_M2-REPAT_M1),IF(P$4&lt;=REPAT_M3,REPAT_V2+(REPAT_V3-REPAT_V2)*(P$4-REPAT_M2)/(REPAT_M3-REPAT_M2),REPAT_V3))),0)</f>
        <v/>
      </c>
      <c r="Q28" s="29">
        <f>IF(Q$4&gt;=MORT_OPEN,IF(Q$4&lt;REPAT_M1,0,IF(Q$4&lt;=REPAT_M2,REPAT_V1+(REPAT_V2-REPAT_V1)*(Q$4-REPAT_M1)/(REPAT_M2-REPAT_M1),IF(Q$4&lt;=REPAT_M3,REPAT_V2+(REPAT_V3-REPAT_V2)*(Q$4-REPAT_M2)/(REPAT_M3-REPAT_M2),REPAT_V3))),0)</f>
        <v/>
      </c>
      <c r="R28" s="29">
        <f>IF(R$4&gt;=MORT_OPEN,IF(R$4&lt;REPAT_M1,0,IF(R$4&lt;=REPAT_M2,REPAT_V1+(REPAT_V2-REPAT_V1)*(R$4-REPAT_M1)/(REPAT_M2-REPAT_M1),IF(R$4&lt;=REPAT_M3,REPAT_V2+(REPAT_V3-REPAT_V2)*(R$4-REPAT_M2)/(REPAT_M3-REPAT_M2),REPAT_V3))),0)</f>
        <v/>
      </c>
      <c r="S28" s="29">
        <f>IF(S$4&gt;=MORT_OPEN,IF(S$4&lt;REPAT_M1,0,IF(S$4&lt;=REPAT_M2,REPAT_V1+(REPAT_V2-REPAT_V1)*(S$4-REPAT_M1)/(REPAT_M2-REPAT_M1),IF(S$4&lt;=REPAT_M3,REPAT_V2+(REPAT_V3-REPAT_V2)*(S$4-REPAT_M2)/(REPAT_M3-REPAT_M2),REPAT_V3))),0)</f>
        <v/>
      </c>
      <c r="T28" s="29">
        <f>IF(T$4&gt;=MORT_OPEN,IF(T$4&lt;REPAT_M1,0,IF(T$4&lt;=REPAT_M2,REPAT_V1+(REPAT_V2-REPAT_V1)*(T$4-REPAT_M1)/(REPAT_M2-REPAT_M1),IF(T$4&lt;=REPAT_M3,REPAT_V2+(REPAT_V3-REPAT_V2)*(T$4-REPAT_M2)/(REPAT_M3-REPAT_M2),REPAT_V3))),0)</f>
        <v/>
      </c>
      <c r="U28" s="29">
        <f>IF(U$4&gt;=MORT_OPEN,IF(U$4&lt;REPAT_M1,0,IF(U$4&lt;=REPAT_M2,REPAT_V1+(REPAT_V2-REPAT_V1)*(U$4-REPAT_M1)/(REPAT_M2-REPAT_M1),IF(U$4&lt;=REPAT_M3,REPAT_V2+(REPAT_V3-REPAT_V2)*(U$4-REPAT_M2)/(REPAT_M3-REPAT_M2),REPAT_V3))),0)</f>
        <v/>
      </c>
      <c r="V28" s="29">
        <f>IF(V$4&gt;=MORT_OPEN,IF(V$4&lt;REPAT_M1,0,IF(V$4&lt;=REPAT_M2,REPAT_V1+(REPAT_V2-REPAT_V1)*(V$4-REPAT_M1)/(REPAT_M2-REPAT_M1),IF(V$4&lt;=REPAT_M3,REPAT_V2+(REPAT_V3-REPAT_V2)*(V$4-REPAT_M2)/(REPAT_M3-REPAT_M2),REPAT_V3))),0)</f>
        <v/>
      </c>
      <c r="W28" s="29">
        <f>IF(W$4&gt;=MORT_OPEN,IF(W$4&lt;REPAT_M1,0,IF(W$4&lt;=REPAT_M2,REPAT_V1+(REPAT_V2-REPAT_V1)*(W$4-REPAT_M1)/(REPAT_M2-REPAT_M1),IF(W$4&lt;=REPAT_M3,REPAT_V2+(REPAT_V3-REPAT_V2)*(W$4-REPAT_M2)/(REPAT_M3-REPAT_M2),REPAT_V3))),0)</f>
        <v/>
      </c>
      <c r="X28" s="29">
        <f>IF(X$4&gt;=MORT_OPEN,IF(X$4&lt;REPAT_M1,0,IF(X$4&lt;=REPAT_M2,REPAT_V1+(REPAT_V2-REPAT_V1)*(X$4-REPAT_M1)/(REPAT_M2-REPAT_M1),IF(X$4&lt;=REPAT_M3,REPAT_V2+(REPAT_V3-REPAT_V2)*(X$4-REPAT_M2)/(REPAT_M3-REPAT_M2),REPAT_V3))),0)</f>
        <v/>
      </c>
      <c r="Y28" s="29">
        <f>IF(Y$4&gt;=MORT_OPEN,IF(Y$4&lt;REPAT_M1,0,IF(Y$4&lt;=REPAT_M2,REPAT_V1+(REPAT_V2-REPAT_V1)*(Y$4-REPAT_M1)/(REPAT_M2-REPAT_M1),IF(Y$4&lt;=REPAT_M3,REPAT_V2+(REPAT_V3-REPAT_V2)*(Y$4-REPAT_M2)/(REPAT_M3-REPAT_M2),REPAT_V3))),0)</f>
        <v/>
      </c>
      <c r="Z28" s="29">
        <f>IF(Z$4&gt;=MORT_OPEN,IF(Z$4&lt;REPAT_M1,0,IF(Z$4&lt;=REPAT_M2,REPAT_V1+(REPAT_V2-REPAT_V1)*(Z$4-REPAT_M1)/(REPAT_M2-REPAT_M1),IF(Z$4&lt;=REPAT_M3,REPAT_V2+(REPAT_V3-REPAT_V2)*(Z$4-REPAT_M2)/(REPAT_M3-REPAT_M2),REPAT_V3))),0)</f>
        <v/>
      </c>
      <c r="AA28" s="29">
        <f>IF(AA$4&gt;=MORT_OPEN,IF(AA$4&lt;REPAT_M1,0,IF(AA$4&lt;=REPAT_M2,REPAT_V1+(REPAT_V2-REPAT_V1)*(AA$4-REPAT_M1)/(REPAT_M2-REPAT_M1),IF(AA$4&lt;=REPAT_M3,REPAT_V2+(REPAT_V3-REPAT_V2)*(AA$4-REPAT_M2)/(REPAT_M3-REPAT_M2),REPAT_V3))),0)</f>
        <v/>
      </c>
      <c r="AB28" s="29">
        <f>IF(AB$4&gt;=MORT_OPEN,IF(AB$4&lt;REPAT_M1,0,IF(AB$4&lt;=REPAT_M2,REPAT_V1+(REPAT_V2-REPAT_V1)*(AB$4-REPAT_M1)/(REPAT_M2-REPAT_M1),IF(AB$4&lt;=REPAT_M3,REPAT_V2+(REPAT_V3-REPAT_V2)*(AB$4-REPAT_M2)/(REPAT_M3-REPAT_M2),REPAT_V3))),0)</f>
        <v/>
      </c>
      <c r="AC28" s="29">
        <f>IF(AC$4&gt;=MORT_OPEN,IF(AC$4&lt;REPAT_M1,0,IF(AC$4&lt;=REPAT_M2,REPAT_V1+(REPAT_V2-REPAT_V1)*(AC$4-REPAT_M1)/(REPAT_M2-REPAT_M1),IF(AC$4&lt;=REPAT_M3,REPAT_V2+(REPAT_V3-REPAT_V2)*(AC$4-REPAT_M2)/(REPAT_M3-REPAT_M2),REPAT_V3))),0)</f>
        <v/>
      </c>
      <c r="AD28" s="29">
        <f>IF(AD$4&gt;=MORT_OPEN,IF(AD$4&lt;REPAT_M1,0,IF(AD$4&lt;=REPAT_M2,REPAT_V1+(REPAT_V2-REPAT_V1)*(AD$4-REPAT_M1)/(REPAT_M2-REPAT_M1),IF(AD$4&lt;=REPAT_M3,REPAT_V2+(REPAT_V3-REPAT_V2)*(AD$4-REPAT_M2)/(REPAT_M3-REPAT_M2),REPAT_V3))),0)</f>
        <v/>
      </c>
      <c r="AE28" s="29">
        <f>IF(AE$4&gt;=MORT_OPEN,IF(AE$4&lt;REPAT_M1,0,IF(AE$4&lt;=REPAT_M2,REPAT_V1+(REPAT_V2-REPAT_V1)*(AE$4-REPAT_M1)/(REPAT_M2-REPAT_M1),IF(AE$4&lt;=REPAT_M3,REPAT_V2+(REPAT_V3-REPAT_V2)*(AE$4-REPAT_M2)/(REPAT_M3-REPAT_M2),REPAT_V3))),0)</f>
        <v/>
      </c>
      <c r="AF28" s="29">
        <f>IF(AF$4&gt;=MORT_OPEN,IF(AF$4&lt;REPAT_M1,0,IF(AF$4&lt;=REPAT_M2,REPAT_V1+(REPAT_V2-REPAT_V1)*(AF$4-REPAT_M1)/(REPAT_M2-REPAT_M1),IF(AF$4&lt;=REPAT_M3,REPAT_V2+(REPAT_V3-REPAT_V2)*(AF$4-REPAT_M2)/(REPAT_M3-REPAT_M2),REPAT_V3))),0)</f>
        <v/>
      </c>
      <c r="AG28" s="29">
        <f>IF(AG$4&gt;=MORT_OPEN,IF(AG$4&lt;REPAT_M1,0,IF(AG$4&lt;=REPAT_M2,REPAT_V1+(REPAT_V2-REPAT_V1)*(AG$4-REPAT_M1)/(REPAT_M2-REPAT_M1),IF(AG$4&lt;=REPAT_M3,REPAT_V2+(REPAT_V3-REPAT_V2)*(AG$4-REPAT_M2)/(REPAT_M3-REPAT_M2),REPAT_V3))),0)</f>
        <v/>
      </c>
      <c r="AH28" s="29">
        <f>IF(AH$4&gt;=MORT_OPEN,IF(AH$4&lt;REPAT_M1,0,IF(AH$4&lt;=REPAT_M2,REPAT_V1+(REPAT_V2-REPAT_V1)*(AH$4-REPAT_M1)/(REPAT_M2-REPAT_M1),IF(AH$4&lt;=REPAT_M3,REPAT_V2+(REPAT_V3-REPAT_V2)*(AH$4-REPAT_M2)/(REPAT_M3-REPAT_M2),REPAT_V3))),0)</f>
        <v/>
      </c>
      <c r="AI28" s="29">
        <f>IF(AI$4&gt;=MORT_OPEN,IF(AI$4&lt;REPAT_M1,0,IF(AI$4&lt;=REPAT_M2,REPAT_V1+(REPAT_V2-REPAT_V1)*(AI$4-REPAT_M1)/(REPAT_M2-REPAT_M1),IF(AI$4&lt;=REPAT_M3,REPAT_V2+(REPAT_V3-REPAT_V2)*(AI$4-REPAT_M2)/(REPAT_M3-REPAT_M2),REPAT_V3))),0)</f>
        <v/>
      </c>
      <c r="AJ28" s="29">
        <f>IF(AJ$4&gt;=MORT_OPEN,IF(AJ$4&lt;REPAT_M1,0,IF(AJ$4&lt;=REPAT_M2,REPAT_V1+(REPAT_V2-REPAT_V1)*(AJ$4-REPAT_M1)/(REPAT_M2-REPAT_M1),IF(AJ$4&lt;=REPAT_M3,REPAT_V2+(REPAT_V3-REPAT_V2)*(AJ$4-REPAT_M2)/(REPAT_M3-REPAT_M2),REPAT_V3))),0)</f>
        <v/>
      </c>
      <c r="AK28" s="29">
        <f>IF(AK$4&gt;=MORT_OPEN,IF(AK$4&lt;REPAT_M1,0,IF(AK$4&lt;=REPAT_M2,REPAT_V1+(REPAT_V2-REPAT_V1)*(AK$4-REPAT_M1)/(REPAT_M2-REPAT_M1),IF(AK$4&lt;=REPAT_M3,REPAT_V2+(REPAT_V3-REPAT_V2)*(AK$4-REPAT_M2)/(REPAT_M3-REPAT_M2),REPAT_V3))),0)</f>
        <v/>
      </c>
      <c r="AL28" s="29">
        <f>IF(AL$4&gt;=MORT_OPEN,IF(AL$4&lt;REPAT_M1,0,IF(AL$4&lt;=REPAT_M2,REPAT_V1+(REPAT_V2-REPAT_V1)*(AL$4-REPAT_M1)/(REPAT_M2-REPAT_M1),IF(AL$4&lt;=REPAT_M3,REPAT_V2+(REPAT_V3-REPAT_V2)*(AL$4-REPAT_M2)/(REPAT_M3-REPAT_M2),REPAT_V3))),0)</f>
        <v/>
      </c>
      <c r="AM28" s="29">
        <f>IF(AM$4&gt;=MORT_OPEN,IF(AM$4&lt;REPAT_M1,0,IF(AM$4&lt;=REPAT_M2,REPAT_V1+(REPAT_V2-REPAT_V1)*(AM$4-REPAT_M1)/(REPAT_M2-REPAT_M1),IF(AM$4&lt;=REPAT_M3,REPAT_V2+(REPAT_V3-REPAT_V2)*(AM$4-REPAT_M2)/(REPAT_M3-REPAT_M2),REPAT_V3))),0)</f>
        <v/>
      </c>
      <c r="AN28" s="29">
        <f>IF(AN$4&gt;=MORT_OPEN,IF(AN$4&lt;REPAT_M1,0,IF(AN$4&lt;=REPAT_M2,REPAT_V1+(REPAT_V2-REPAT_V1)*(AN$4-REPAT_M1)/(REPAT_M2-REPAT_M1),IF(AN$4&lt;=REPAT_M3,REPAT_V2+(REPAT_V3-REPAT_V2)*(AN$4-REPAT_M2)/(REPAT_M3-REPAT_M2),REPAT_V3))),0)</f>
        <v/>
      </c>
      <c r="AO28" s="29">
        <f>IF(AO$4&gt;=MORT_OPEN,IF(AO$4&lt;REPAT_M1,0,IF(AO$4&lt;=REPAT_M2,REPAT_V1+(REPAT_V2-REPAT_V1)*(AO$4-REPAT_M1)/(REPAT_M2-REPAT_M1),IF(AO$4&lt;=REPAT_M3,REPAT_V2+(REPAT_V3-REPAT_V2)*(AO$4-REPAT_M2)/(REPAT_M3-REPAT_M2),REPAT_V3))),0)</f>
        <v/>
      </c>
      <c r="AP28" s="29">
        <f>IF(AP$4&gt;=MORT_OPEN,IF(AP$4&lt;REPAT_M1,0,IF(AP$4&lt;=REPAT_M2,REPAT_V1+(REPAT_V2-REPAT_V1)*(AP$4-REPAT_M1)/(REPAT_M2-REPAT_M1),IF(AP$4&lt;=REPAT_M3,REPAT_V2+(REPAT_V3-REPAT_V2)*(AP$4-REPAT_M2)/(REPAT_M3-REPAT_M2),REPAT_V3))),0)</f>
        <v/>
      </c>
      <c r="AQ28" s="29">
        <f>IF(AQ$4&gt;=MORT_OPEN,IF(AQ$4&lt;REPAT_M1,0,IF(AQ$4&lt;=REPAT_M2,REPAT_V1+(REPAT_V2-REPAT_V1)*(AQ$4-REPAT_M1)/(REPAT_M2-REPAT_M1),IF(AQ$4&lt;=REPAT_M3,REPAT_V2+(REPAT_V3-REPAT_V2)*(AQ$4-REPAT_M2)/(REPAT_M3-REPAT_M2),REPAT_V3))),0)</f>
        <v/>
      </c>
      <c r="AR28" s="29">
        <f>IF(AR$4&gt;=MORT_OPEN,IF(AR$4&lt;REPAT_M1,0,IF(AR$4&lt;=REPAT_M2,REPAT_V1+(REPAT_V2-REPAT_V1)*(AR$4-REPAT_M1)/(REPAT_M2-REPAT_M1),IF(AR$4&lt;=REPAT_M3,REPAT_V2+(REPAT_V3-REPAT_V2)*(AR$4-REPAT_M2)/(REPAT_M3-REPAT_M2),REPAT_V3))),0)</f>
        <v/>
      </c>
      <c r="AS28" s="29">
        <f>IF(AS$4&gt;=MORT_OPEN,IF(AS$4&lt;REPAT_M1,0,IF(AS$4&lt;=REPAT_M2,REPAT_V1+(REPAT_V2-REPAT_V1)*(AS$4-REPAT_M1)/(REPAT_M2-REPAT_M1),IF(AS$4&lt;=REPAT_M3,REPAT_V2+(REPAT_V3-REPAT_V2)*(AS$4-REPAT_M2)/(REPAT_M3-REPAT_M2),REPAT_V3))),0)</f>
        <v/>
      </c>
      <c r="AT28" s="29">
        <f>IF(AT$4&gt;=MORT_OPEN,IF(AT$4&lt;REPAT_M1,0,IF(AT$4&lt;=REPAT_M2,REPAT_V1+(REPAT_V2-REPAT_V1)*(AT$4-REPAT_M1)/(REPAT_M2-REPAT_M1),IF(AT$4&lt;=REPAT_M3,REPAT_V2+(REPAT_V3-REPAT_V2)*(AT$4-REPAT_M2)/(REPAT_M3-REPAT_M2),REPAT_V3))),0)</f>
        <v/>
      </c>
      <c r="AU28" s="29">
        <f>IF(AU$4&gt;=MORT_OPEN,IF(AU$4&lt;REPAT_M1,0,IF(AU$4&lt;=REPAT_M2,REPAT_V1+(REPAT_V2-REPAT_V1)*(AU$4-REPAT_M1)/(REPAT_M2-REPAT_M1),IF(AU$4&lt;=REPAT_M3,REPAT_V2+(REPAT_V3-REPAT_V2)*(AU$4-REPAT_M2)/(REPAT_M3-REPAT_M2),REPAT_V3))),0)</f>
        <v/>
      </c>
      <c r="AV28" s="29">
        <f>IF(AV$4&gt;=MORT_OPEN,IF(AV$4&lt;REPAT_M1,0,IF(AV$4&lt;=REPAT_M2,REPAT_V1+(REPAT_V2-REPAT_V1)*(AV$4-REPAT_M1)/(REPAT_M2-REPAT_M1),IF(AV$4&lt;=REPAT_M3,REPAT_V2+(REPAT_V3-REPAT_V2)*(AV$4-REPAT_M2)/(REPAT_M3-REPAT_M2),REPAT_V3))),0)</f>
        <v/>
      </c>
      <c r="AW28" s="29">
        <f>IF(AW$4&gt;=MORT_OPEN,IF(AW$4&lt;REPAT_M1,0,IF(AW$4&lt;=REPAT_M2,REPAT_V1+(REPAT_V2-REPAT_V1)*(AW$4-REPAT_M1)/(REPAT_M2-REPAT_M1),IF(AW$4&lt;=REPAT_M3,REPAT_V2+(REPAT_V3-REPAT_V2)*(AW$4-REPAT_M2)/(REPAT_M3-REPAT_M2),REPAT_V3))),0)</f>
        <v/>
      </c>
      <c r="AX28" s="29">
        <f>IF(AX$4&gt;=MORT_OPEN,IF(AX$4&lt;REPAT_M1,0,IF(AX$4&lt;=REPAT_M2,REPAT_V1+(REPAT_V2-REPAT_V1)*(AX$4-REPAT_M1)/(REPAT_M2-REPAT_M1),IF(AX$4&lt;=REPAT_M3,REPAT_V2+(REPAT_V3-REPAT_V2)*(AX$4-REPAT_M2)/(REPAT_M3-REPAT_M2),REPAT_V3))),0)</f>
        <v/>
      </c>
      <c r="AY28" s="29">
        <f>IF(AY$4&gt;=MORT_OPEN,IF(AY$4&lt;REPAT_M1,0,IF(AY$4&lt;=REPAT_M2,REPAT_V1+(REPAT_V2-REPAT_V1)*(AY$4-REPAT_M1)/(REPAT_M2-REPAT_M1),IF(AY$4&lt;=REPAT_M3,REPAT_V2+(REPAT_V3-REPAT_V2)*(AY$4-REPAT_M2)/(REPAT_M3-REPAT_M2),REPAT_V3))),0)</f>
        <v/>
      </c>
      <c r="AZ28" s="29">
        <f>IF(AZ$4&gt;=MORT_OPEN,IF(AZ$4&lt;REPAT_M1,0,IF(AZ$4&lt;=REPAT_M2,REPAT_V1+(REPAT_V2-REPAT_V1)*(AZ$4-REPAT_M1)/(REPAT_M2-REPAT_M1),IF(AZ$4&lt;=REPAT_M3,REPAT_V2+(REPAT_V3-REPAT_V2)*(AZ$4-REPAT_M2)/(REPAT_M3-REPAT_M2),REPAT_V3))),0)</f>
        <v/>
      </c>
      <c r="BA28" s="29">
        <f>IF(BA$4&gt;=MORT_OPEN,IF(BA$4&lt;REPAT_M1,0,IF(BA$4&lt;=REPAT_M2,REPAT_V1+(REPAT_V2-REPAT_V1)*(BA$4-REPAT_M1)/(REPAT_M2-REPAT_M1),IF(BA$4&lt;=REPAT_M3,REPAT_V2+(REPAT_V3-REPAT_V2)*(BA$4-REPAT_M2)/(REPAT_M3-REPAT_M2),REPAT_V3))),0)</f>
        <v/>
      </c>
      <c r="BB28" s="29">
        <f>IF(BB$4&gt;=MORT_OPEN,IF(BB$4&lt;REPAT_M1,0,IF(BB$4&lt;=REPAT_M2,REPAT_V1+(REPAT_V2-REPAT_V1)*(BB$4-REPAT_M1)/(REPAT_M2-REPAT_M1),IF(BB$4&lt;=REPAT_M3,REPAT_V2+(REPAT_V3-REPAT_V2)*(BB$4-REPAT_M2)/(REPAT_M3-REPAT_M2),REPAT_V3))),0)</f>
        <v/>
      </c>
      <c r="BC28" s="29">
        <f>IF(BC$4&gt;=MORT_OPEN,IF(BC$4&lt;REPAT_M1,0,IF(BC$4&lt;=REPAT_M2,REPAT_V1+(REPAT_V2-REPAT_V1)*(BC$4-REPAT_M1)/(REPAT_M2-REPAT_M1),IF(BC$4&lt;=REPAT_M3,REPAT_V2+(REPAT_V3-REPAT_V2)*(BC$4-REPAT_M2)/(REPAT_M3-REPAT_M2),REPAT_V3))),0)</f>
        <v/>
      </c>
      <c r="BD28" s="29">
        <f>IF(BD$4&gt;=MORT_OPEN,IF(BD$4&lt;REPAT_M1,0,IF(BD$4&lt;=REPAT_M2,REPAT_V1+(REPAT_V2-REPAT_V1)*(BD$4-REPAT_M1)/(REPAT_M2-REPAT_M1),IF(BD$4&lt;=REPAT_M3,REPAT_V2+(REPAT_V3-REPAT_V2)*(BD$4-REPAT_M2)/(REPAT_M3-REPAT_M2),REPAT_V3))),0)</f>
        <v/>
      </c>
      <c r="BE28" s="29">
        <f>IF(BE$4&gt;=MORT_OPEN,IF(BE$4&lt;REPAT_M1,0,IF(BE$4&lt;=REPAT_M2,REPAT_V1+(REPAT_V2-REPAT_V1)*(BE$4-REPAT_M1)/(REPAT_M2-REPAT_M1),IF(BE$4&lt;=REPAT_M3,REPAT_V2+(REPAT_V3-REPAT_V2)*(BE$4-REPAT_M2)/(REPAT_M3-REPAT_M2),REPAT_V3))),0)</f>
        <v/>
      </c>
      <c r="BF28" s="29">
        <f>IF(BF$4&gt;=MORT_OPEN,IF(BF$4&lt;REPAT_M1,0,IF(BF$4&lt;=REPAT_M2,REPAT_V1+(REPAT_V2-REPAT_V1)*(BF$4-REPAT_M1)/(REPAT_M2-REPAT_M1),IF(BF$4&lt;=REPAT_M3,REPAT_V2+(REPAT_V3-REPAT_V2)*(BF$4-REPAT_M2)/(REPAT_M3-REPAT_M2),REPAT_V3))),0)</f>
        <v/>
      </c>
      <c r="BG28" s="29">
        <f>IF(BG$4&gt;=MORT_OPEN,IF(BG$4&lt;REPAT_M1,0,IF(BG$4&lt;=REPAT_M2,REPAT_V1+(REPAT_V2-REPAT_V1)*(BG$4-REPAT_M1)/(REPAT_M2-REPAT_M1),IF(BG$4&lt;=REPAT_M3,REPAT_V2+(REPAT_V3-REPAT_V2)*(BG$4-REPAT_M2)/(REPAT_M3-REPAT_M2),REPAT_V3))),0)</f>
        <v/>
      </c>
      <c r="BH28" s="29">
        <f>IF(BH$4&gt;=MORT_OPEN,IF(BH$4&lt;REPAT_M1,0,IF(BH$4&lt;=REPAT_M2,REPAT_V1+(REPAT_V2-REPAT_V1)*(BH$4-REPAT_M1)/(REPAT_M2-REPAT_M1),IF(BH$4&lt;=REPAT_M3,REPAT_V2+(REPAT_V3-REPAT_V2)*(BH$4-REPAT_M2)/(REPAT_M3-REPAT_M2),REPAT_V3))),0)</f>
        <v/>
      </c>
      <c r="BI28" s="29">
        <f>IF(BI$4&gt;=MORT_OPEN,IF(BI$4&lt;REPAT_M1,0,IF(BI$4&lt;=REPAT_M2,REPAT_V1+(REPAT_V2-REPAT_V1)*(BI$4-REPAT_M1)/(REPAT_M2-REPAT_M1),IF(BI$4&lt;=REPAT_M3,REPAT_V2+(REPAT_V3-REPAT_V2)*(BI$4-REPAT_M2)/(REPAT_M3-REPAT_M2),REPAT_V3))),0)</f>
        <v/>
      </c>
      <c r="BJ28" s="29">
        <f>IF(BJ$4&gt;=MORT_OPEN,IF(BJ$4&lt;REPAT_M1,0,IF(BJ$4&lt;=REPAT_M2,REPAT_V1+(REPAT_V2-REPAT_V1)*(BJ$4-REPAT_M1)/(REPAT_M2-REPAT_M1),IF(BJ$4&lt;=REPAT_M3,REPAT_V2+(REPAT_V3-REPAT_V2)*(BJ$4-REPAT_M2)/(REPAT_M3-REPAT_M2),REPAT_V3))),0)</f>
        <v/>
      </c>
      <c r="BK28" s="29">
        <f>IF(BK$4&gt;=MORT_OPEN,IF(BK$4&lt;REPAT_M1,0,IF(BK$4&lt;=REPAT_M2,REPAT_V1+(REPAT_V2-REPAT_V1)*(BK$4-REPAT_M1)/(REPAT_M2-REPAT_M1),IF(BK$4&lt;=REPAT_M3,REPAT_V2+(REPAT_V3-REPAT_V2)*(BK$4-REPAT_M2)/(REPAT_M3-REPAT_M2),REPAT_V3))),0)</f>
        <v/>
      </c>
    </row>
    <row r="29">
      <c r="A29" s="14" t="inlineStr">
        <is>
          <t>Autopsies</t>
        </is>
      </c>
      <c r="B29" s="3" t="inlineStr">
        <is>
          <t>a month</t>
        </is>
      </c>
      <c r="C29" s="2" t="n"/>
      <c r="D29" s="29">
        <f>IF(D$4&gt;=MORT_OPEN,IF(D$4&lt;AUT_M1,0,IF(D$4&lt;=AUT_M2,AUT_V1+(AUT_V2-AUT_V1)*(D$4-AUT_M1)/(AUT_M2-AUT_M1),IF(D$4&lt;=AUT_M3,AUT_V2+(AUT_V3-AUT_V2)*(D$4-AUT_M2)/(AUT_M3-AUT_M2),AUT_V3))),0)</f>
        <v/>
      </c>
      <c r="E29" s="29">
        <f>IF(E$4&gt;=MORT_OPEN,IF(E$4&lt;AUT_M1,0,IF(E$4&lt;=AUT_M2,AUT_V1+(AUT_V2-AUT_V1)*(E$4-AUT_M1)/(AUT_M2-AUT_M1),IF(E$4&lt;=AUT_M3,AUT_V2+(AUT_V3-AUT_V2)*(E$4-AUT_M2)/(AUT_M3-AUT_M2),AUT_V3))),0)</f>
        <v/>
      </c>
      <c r="F29" s="29">
        <f>IF(F$4&gt;=MORT_OPEN,IF(F$4&lt;AUT_M1,0,IF(F$4&lt;=AUT_M2,AUT_V1+(AUT_V2-AUT_V1)*(F$4-AUT_M1)/(AUT_M2-AUT_M1),IF(F$4&lt;=AUT_M3,AUT_V2+(AUT_V3-AUT_V2)*(F$4-AUT_M2)/(AUT_M3-AUT_M2),AUT_V3))),0)</f>
        <v/>
      </c>
      <c r="G29" s="29">
        <f>IF(G$4&gt;=MORT_OPEN,IF(G$4&lt;AUT_M1,0,IF(G$4&lt;=AUT_M2,AUT_V1+(AUT_V2-AUT_V1)*(G$4-AUT_M1)/(AUT_M2-AUT_M1),IF(G$4&lt;=AUT_M3,AUT_V2+(AUT_V3-AUT_V2)*(G$4-AUT_M2)/(AUT_M3-AUT_M2),AUT_V3))),0)</f>
        <v/>
      </c>
      <c r="H29" s="29">
        <f>IF(H$4&gt;=MORT_OPEN,IF(H$4&lt;AUT_M1,0,IF(H$4&lt;=AUT_M2,AUT_V1+(AUT_V2-AUT_V1)*(H$4-AUT_M1)/(AUT_M2-AUT_M1),IF(H$4&lt;=AUT_M3,AUT_V2+(AUT_V3-AUT_V2)*(H$4-AUT_M2)/(AUT_M3-AUT_M2),AUT_V3))),0)</f>
        <v/>
      </c>
      <c r="I29" s="29">
        <f>IF(I$4&gt;=MORT_OPEN,IF(I$4&lt;AUT_M1,0,IF(I$4&lt;=AUT_M2,AUT_V1+(AUT_V2-AUT_V1)*(I$4-AUT_M1)/(AUT_M2-AUT_M1),IF(I$4&lt;=AUT_M3,AUT_V2+(AUT_V3-AUT_V2)*(I$4-AUT_M2)/(AUT_M3-AUT_M2),AUT_V3))),0)</f>
        <v/>
      </c>
      <c r="J29" s="29">
        <f>IF(J$4&gt;=MORT_OPEN,IF(J$4&lt;AUT_M1,0,IF(J$4&lt;=AUT_M2,AUT_V1+(AUT_V2-AUT_V1)*(J$4-AUT_M1)/(AUT_M2-AUT_M1),IF(J$4&lt;=AUT_M3,AUT_V2+(AUT_V3-AUT_V2)*(J$4-AUT_M2)/(AUT_M3-AUT_M2),AUT_V3))),0)</f>
        <v/>
      </c>
      <c r="K29" s="29">
        <f>IF(K$4&gt;=MORT_OPEN,IF(K$4&lt;AUT_M1,0,IF(K$4&lt;=AUT_M2,AUT_V1+(AUT_V2-AUT_V1)*(K$4-AUT_M1)/(AUT_M2-AUT_M1),IF(K$4&lt;=AUT_M3,AUT_V2+(AUT_V3-AUT_V2)*(K$4-AUT_M2)/(AUT_M3-AUT_M2),AUT_V3))),0)</f>
        <v/>
      </c>
      <c r="L29" s="29">
        <f>IF(L$4&gt;=MORT_OPEN,IF(L$4&lt;AUT_M1,0,IF(L$4&lt;=AUT_M2,AUT_V1+(AUT_V2-AUT_V1)*(L$4-AUT_M1)/(AUT_M2-AUT_M1),IF(L$4&lt;=AUT_M3,AUT_V2+(AUT_V3-AUT_V2)*(L$4-AUT_M2)/(AUT_M3-AUT_M2),AUT_V3))),0)</f>
        <v/>
      </c>
      <c r="M29" s="29">
        <f>IF(M$4&gt;=MORT_OPEN,IF(M$4&lt;AUT_M1,0,IF(M$4&lt;=AUT_M2,AUT_V1+(AUT_V2-AUT_V1)*(M$4-AUT_M1)/(AUT_M2-AUT_M1),IF(M$4&lt;=AUT_M3,AUT_V2+(AUT_V3-AUT_V2)*(M$4-AUT_M2)/(AUT_M3-AUT_M2),AUT_V3))),0)</f>
        <v/>
      </c>
      <c r="N29" s="29">
        <f>IF(N$4&gt;=MORT_OPEN,IF(N$4&lt;AUT_M1,0,IF(N$4&lt;=AUT_M2,AUT_V1+(AUT_V2-AUT_V1)*(N$4-AUT_M1)/(AUT_M2-AUT_M1),IF(N$4&lt;=AUT_M3,AUT_V2+(AUT_V3-AUT_V2)*(N$4-AUT_M2)/(AUT_M3-AUT_M2),AUT_V3))),0)</f>
        <v/>
      </c>
      <c r="O29" s="29">
        <f>IF(O$4&gt;=MORT_OPEN,IF(O$4&lt;AUT_M1,0,IF(O$4&lt;=AUT_M2,AUT_V1+(AUT_V2-AUT_V1)*(O$4-AUT_M1)/(AUT_M2-AUT_M1),IF(O$4&lt;=AUT_M3,AUT_V2+(AUT_V3-AUT_V2)*(O$4-AUT_M2)/(AUT_M3-AUT_M2),AUT_V3))),0)</f>
        <v/>
      </c>
      <c r="P29" s="29">
        <f>IF(P$4&gt;=MORT_OPEN,IF(P$4&lt;AUT_M1,0,IF(P$4&lt;=AUT_M2,AUT_V1+(AUT_V2-AUT_V1)*(P$4-AUT_M1)/(AUT_M2-AUT_M1),IF(P$4&lt;=AUT_M3,AUT_V2+(AUT_V3-AUT_V2)*(P$4-AUT_M2)/(AUT_M3-AUT_M2),AUT_V3))),0)</f>
        <v/>
      </c>
      <c r="Q29" s="29">
        <f>IF(Q$4&gt;=MORT_OPEN,IF(Q$4&lt;AUT_M1,0,IF(Q$4&lt;=AUT_M2,AUT_V1+(AUT_V2-AUT_V1)*(Q$4-AUT_M1)/(AUT_M2-AUT_M1),IF(Q$4&lt;=AUT_M3,AUT_V2+(AUT_V3-AUT_V2)*(Q$4-AUT_M2)/(AUT_M3-AUT_M2),AUT_V3))),0)</f>
        <v/>
      </c>
      <c r="R29" s="29">
        <f>IF(R$4&gt;=MORT_OPEN,IF(R$4&lt;AUT_M1,0,IF(R$4&lt;=AUT_M2,AUT_V1+(AUT_V2-AUT_V1)*(R$4-AUT_M1)/(AUT_M2-AUT_M1),IF(R$4&lt;=AUT_M3,AUT_V2+(AUT_V3-AUT_V2)*(R$4-AUT_M2)/(AUT_M3-AUT_M2),AUT_V3))),0)</f>
        <v/>
      </c>
      <c r="S29" s="29">
        <f>IF(S$4&gt;=MORT_OPEN,IF(S$4&lt;AUT_M1,0,IF(S$4&lt;=AUT_M2,AUT_V1+(AUT_V2-AUT_V1)*(S$4-AUT_M1)/(AUT_M2-AUT_M1),IF(S$4&lt;=AUT_M3,AUT_V2+(AUT_V3-AUT_V2)*(S$4-AUT_M2)/(AUT_M3-AUT_M2),AUT_V3))),0)</f>
        <v/>
      </c>
      <c r="T29" s="29">
        <f>IF(T$4&gt;=MORT_OPEN,IF(T$4&lt;AUT_M1,0,IF(T$4&lt;=AUT_M2,AUT_V1+(AUT_V2-AUT_V1)*(T$4-AUT_M1)/(AUT_M2-AUT_M1),IF(T$4&lt;=AUT_M3,AUT_V2+(AUT_V3-AUT_V2)*(T$4-AUT_M2)/(AUT_M3-AUT_M2),AUT_V3))),0)</f>
        <v/>
      </c>
      <c r="U29" s="29">
        <f>IF(U$4&gt;=MORT_OPEN,IF(U$4&lt;AUT_M1,0,IF(U$4&lt;=AUT_M2,AUT_V1+(AUT_V2-AUT_V1)*(U$4-AUT_M1)/(AUT_M2-AUT_M1),IF(U$4&lt;=AUT_M3,AUT_V2+(AUT_V3-AUT_V2)*(U$4-AUT_M2)/(AUT_M3-AUT_M2),AUT_V3))),0)</f>
        <v/>
      </c>
      <c r="V29" s="29">
        <f>IF(V$4&gt;=MORT_OPEN,IF(V$4&lt;AUT_M1,0,IF(V$4&lt;=AUT_M2,AUT_V1+(AUT_V2-AUT_V1)*(V$4-AUT_M1)/(AUT_M2-AUT_M1),IF(V$4&lt;=AUT_M3,AUT_V2+(AUT_V3-AUT_V2)*(V$4-AUT_M2)/(AUT_M3-AUT_M2),AUT_V3))),0)</f>
        <v/>
      </c>
      <c r="W29" s="29">
        <f>IF(W$4&gt;=MORT_OPEN,IF(W$4&lt;AUT_M1,0,IF(W$4&lt;=AUT_M2,AUT_V1+(AUT_V2-AUT_V1)*(W$4-AUT_M1)/(AUT_M2-AUT_M1),IF(W$4&lt;=AUT_M3,AUT_V2+(AUT_V3-AUT_V2)*(W$4-AUT_M2)/(AUT_M3-AUT_M2),AUT_V3))),0)</f>
        <v/>
      </c>
      <c r="X29" s="29">
        <f>IF(X$4&gt;=MORT_OPEN,IF(X$4&lt;AUT_M1,0,IF(X$4&lt;=AUT_M2,AUT_V1+(AUT_V2-AUT_V1)*(X$4-AUT_M1)/(AUT_M2-AUT_M1),IF(X$4&lt;=AUT_M3,AUT_V2+(AUT_V3-AUT_V2)*(X$4-AUT_M2)/(AUT_M3-AUT_M2),AUT_V3))),0)</f>
        <v/>
      </c>
      <c r="Y29" s="29">
        <f>IF(Y$4&gt;=MORT_OPEN,IF(Y$4&lt;AUT_M1,0,IF(Y$4&lt;=AUT_M2,AUT_V1+(AUT_V2-AUT_V1)*(Y$4-AUT_M1)/(AUT_M2-AUT_M1),IF(Y$4&lt;=AUT_M3,AUT_V2+(AUT_V3-AUT_V2)*(Y$4-AUT_M2)/(AUT_M3-AUT_M2),AUT_V3))),0)</f>
        <v/>
      </c>
      <c r="Z29" s="29">
        <f>IF(Z$4&gt;=MORT_OPEN,IF(Z$4&lt;AUT_M1,0,IF(Z$4&lt;=AUT_M2,AUT_V1+(AUT_V2-AUT_V1)*(Z$4-AUT_M1)/(AUT_M2-AUT_M1),IF(Z$4&lt;=AUT_M3,AUT_V2+(AUT_V3-AUT_V2)*(Z$4-AUT_M2)/(AUT_M3-AUT_M2),AUT_V3))),0)</f>
        <v/>
      </c>
      <c r="AA29" s="29">
        <f>IF(AA$4&gt;=MORT_OPEN,IF(AA$4&lt;AUT_M1,0,IF(AA$4&lt;=AUT_M2,AUT_V1+(AUT_V2-AUT_V1)*(AA$4-AUT_M1)/(AUT_M2-AUT_M1),IF(AA$4&lt;=AUT_M3,AUT_V2+(AUT_V3-AUT_V2)*(AA$4-AUT_M2)/(AUT_M3-AUT_M2),AUT_V3))),0)</f>
        <v/>
      </c>
      <c r="AB29" s="29">
        <f>IF(AB$4&gt;=MORT_OPEN,IF(AB$4&lt;AUT_M1,0,IF(AB$4&lt;=AUT_M2,AUT_V1+(AUT_V2-AUT_V1)*(AB$4-AUT_M1)/(AUT_M2-AUT_M1),IF(AB$4&lt;=AUT_M3,AUT_V2+(AUT_V3-AUT_V2)*(AB$4-AUT_M2)/(AUT_M3-AUT_M2),AUT_V3))),0)</f>
        <v/>
      </c>
      <c r="AC29" s="29">
        <f>IF(AC$4&gt;=MORT_OPEN,IF(AC$4&lt;AUT_M1,0,IF(AC$4&lt;=AUT_M2,AUT_V1+(AUT_V2-AUT_V1)*(AC$4-AUT_M1)/(AUT_M2-AUT_M1),IF(AC$4&lt;=AUT_M3,AUT_V2+(AUT_V3-AUT_V2)*(AC$4-AUT_M2)/(AUT_M3-AUT_M2),AUT_V3))),0)</f>
        <v/>
      </c>
      <c r="AD29" s="29">
        <f>IF(AD$4&gt;=MORT_OPEN,IF(AD$4&lt;AUT_M1,0,IF(AD$4&lt;=AUT_M2,AUT_V1+(AUT_V2-AUT_V1)*(AD$4-AUT_M1)/(AUT_M2-AUT_M1),IF(AD$4&lt;=AUT_M3,AUT_V2+(AUT_V3-AUT_V2)*(AD$4-AUT_M2)/(AUT_M3-AUT_M2),AUT_V3))),0)</f>
        <v/>
      </c>
      <c r="AE29" s="29">
        <f>IF(AE$4&gt;=MORT_OPEN,IF(AE$4&lt;AUT_M1,0,IF(AE$4&lt;=AUT_M2,AUT_V1+(AUT_V2-AUT_V1)*(AE$4-AUT_M1)/(AUT_M2-AUT_M1),IF(AE$4&lt;=AUT_M3,AUT_V2+(AUT_V3-AUT_V2)*(AE$4-AUT_M2)/(AUT_M3-AUT_M2),AUT_V3))),0)</f>
        <v/>
      </c>
      <c r="AF29" s="29">
        <f>IF(AF$4&gt;=MORT_OPEN,IF(AF$4&lt;AUT_M1,0,IF(AF$4&lt;=AUT_M2,AUT_V1+(AUT_V2-AUT_V1)*(AF$4-AUT_M1)/(AUT_M2-AUT_M1),IF(AF$4&lt;=AUT_M3,AUT_V2+(AUT_V3-AUT_V2)*(AF$4-AUT_M2)/(AUT_M3-AUT_M2),AUT_V3))),0)</f>
        <v/>
      </c>
      <c r="AG29" s="29">
        <f>IF(AG$4&gt;=MORT_OPEN,IF(AG$4&lt;AUT_M1,0,IF(AG$4&lt;=AUT_M2,AUT_V1+(AUT_V2-AUT_V1)*(AG$4-AUT_M1)/(AUT_M2-AUT_M1),IF(AG$4&lt;=AUT_M3,AUT_V2+(AUT_V3-AUT_V2)*(AG$4-AUT_M2)/(AUT_M3-AUT_M2),AUT_V3))),0)</f>
        <v/>
      </c>
      <c r="AH29" s="29">
        <f>IF(AH$4&gt;=MORT_OPEN,IF(AH$4&lt;AUT_M1,0,IF(AH$4&lt;=AUT_M2,AUT_V1+(AUT_V2-AUT_V1)*(AH$4-AUT_M1)/(AUT_M2-AUT_M1),IF(AH$4&lt;=AUT_M3,AUT_V2+(AUT_V3-AUT_V2)*(AH$4-AUT_M2)/(AUT_M3-AUT_M2),AUT_V3))),0)</f>
        <v/>
      </c>
      <c r="AI29" s="29">
        <f>IF(AI$4&gt;=MORT_OPEN,IF(AI$4&lt;AUT_M1,0,IF(AI$4&lt;=AUT_M2,AUT_V1+(AUT_V2-AUT_V1)*(AI$4-AUT_M1)/(AUT_M2-AUT_M1),IF(AI$4&lt;=AUT_M3,AUT_V2+(AUT_V3-AUT_V2)*(AI$4-AUT_M2)/(AUT_M3-AUT_M2),AUT_V3))),0)</f>
        <v/>
      </c>
      <c r="AJ29" s="29">
        <f>IF(AJ$4&gt;=MORT_OPEN,IF(AJ$4&lt;AUT_M1,0,IF(AJ$4&lt;=AUT_M2,AUT_V1+(AUT_V2-AUT_V1)*(AJ$4-AUT_M1)/(AUT_M2-AUT_M1),IF(AJ$4&lt;=AUT_M3,AUT_V2+(AUT_V3-AUT_V2)*(AJ$4-AUT_M2)/(AUT_M3-AUT_M2),AUT_V3))),0)</f>
        <v/>
      </c>
      <c r="AK29" s="29">
        <f>IF(AK$4&gt;=MORT_OPEN,IF(AK$4&lt;AUT_M1,0,IF(AK$4&lt;=AUT_M2,AUT_V1+(AUT_V2-AUT_V1)*(AK$4-AUT_M1)/(AUT_M2-AUT_M1),IF(AK$4&lt;=AUT_M3,AUT_V2+(AUT_V3-AUT_V2)*(AK$4-AUT_M2)/(AUT_M3-AUT_M2),AUT_V3))),0)</f>
        <v/>
      </c>
      <c r="AL29" s="29">
        <f>IF(AL$4&gt;=MORT_OPEN,IF(AL$4&lt;AUT_M1,0,IF(AL$4&lt;=AUT_M2,AUT_V1+(AUT_V2-AUT_V1)*(AL$4-AUT_M1)/(AUT_M2-AUT_M1),IF(AL$4&lt;=AUT_M3,AUT_V2+(AUT_V3-AUT_V2)*(AL$4-AUT_M2)/(AUT_M3-AUT_M2),AUT_V3))),0)</f>
        <v/>
      </c>
      <c r="AM29" s="29">
        <f>IF(AM$4&gt;=MORT_OPEN,IF(AM$4&lt;AUT_M1,0,IF(AM$4&lt;=AUT_M2,AUT_V1+(AUT_V2-AUT_V1)*(AM$4-AUT_M1)/(AUT_M2-AUT_M1),IF(AM$4&lt;=AUT_M3,AUT_V2+(AUT_V3-AUT_V2)*(AM$4-AUT_M2)/(AUT_M3-AUT_M2),AUT_V3))),0)</f>
        <v/>
      </c>
      <c r="AN29" s="29">
        <f>IF(AN$4&gt;=MORT_OPEN,IF(AN$4&lt;AUT_M1,0,IF(AN$4&lt;=AUT_M2,AUT_V1+(AUT_V2-AUT_V1)*(AN$4-AUT_M1)/(AUT_M2-AUT_M1),IF(AN$4&lt;=AUT_M3,AUT_V2+(AUT_V3-AUT_V2)*(AN$4-AUT_M2)/(AUT_M3-AUT_M2),AUT_V3))),0)</f>
        <v/>
      </c>
      <c r="AO29" s="29">
        <f>IF(AO$4&gt;=MORT_OPEN,IF(AO$4&lt;AUT_M1,0,IF(AO$4&lt;=AUT_M2,AUT_V1+(AUT_V2-AUT_V1)*(AO$4-AUT_M1)/(AUT_M2-AUT_M1),IF(AO$4&lt;=AUT_M3,AUT_V2+(AUT_V3-AUT_V2)*(AO$4-AUT_M2)/(AUT_M3-AUT_M2),AUT_V3))),0)</f>
        <v/>
      </c>
      <c r="AP29" s="29">
        <f>IF(AP$4&gt;=MORT_OPEN,IF(AP$4&lt;AUT_M1,0,IF(AP$4&lt;=AUT_M2,AUT_V1+(AUT_V2-AUT_V1)*(AP$4-AUT_M1)/(AUT_M2-AUT_M1),IF(AP$4&lt;=AUT_M3,AUT_V2+(AUT_V3-AUT_V2)*(AP$4-AUT_M2)/(AUT_M3-AUT_M2),AUT_V3))),0)</f>
        <v/>
      </c>
      <c r="AQ29" s="29">
        <f>IF(AQ$4&gt;=MORT_OPEN,IF(AQ$4&lt;AUT_M1,0,IF(AQ$4&lt;=AUT_M2,AUT_V1+(AUT_V2-AUT_V1)*(AQ$4-AUT_M1)/(AUT_M2-AUT_M1),IF(AQ$4&lt;=AUT_M3,AUT_V2+(AUT_V3-AUT_V2)*(AQ$4-AUT_M2)/(AUT_M3-AUT_M2),AUT_V3))),0)</f>
        <v/>
      </c>
      <c r="AR29" s="29">
        <f>IF(AR$4&gt;=MORT_OPEN,IF(AR$4&lt;AUT_M1,0,IF(AR$4&lt;=AUT_M2,AUT_V1+(AUT_V2-AUT_V1)*(AR$4-AUT_M1)/(AUT_M2-AUT_M1),IF(AR$4&lt;=AUT_M3,AUT_V2+(AUT_V3-AUT_V2)*(AR$4-AUT_M2)/(AUT_M3-AUT_M2),AUT_V3))),0)</f>
        <v/>
      </c>
      <c r="AS29" s="29">
        <f>IF(AS$4&gt;=MORT_OPEN,IF(AS$4&lt;AUT_M1,0,IF(AS$4&lt;=AUT_M2,AUT_V1+(AUT_V2-AUT_V1)*(AS$4-AUT_M1)/(AUT_M2-AUT_M1),IF(AS$4&lt;=AUT_M3,AUT_V2+(AUT_V3-AUT_V2)*(AS$4-AUT_M2)/(AUT_M3-AUT_M2),AUT_V3))),0)</f>
        <v/>
      </c>
      <c r="AT29" s="29">
        <f>IF(AT$4&gt;=MORT_OPEN,IF(AT$4&lt;AUT_M1,0,IF(AT$4&lt;=AUT_M2,AUT_V1+(AUT_V2-AUT_V1)*(AT$4-AUT_M1)/(AUT_M2-AUT_M1),IF(AT$4&lt;=AUT_M3,AUT_V2+(AUT_V3-AUT_V2)*(AT$4-AUT_M2)/(AUT_M3-AUT_M2),AUT_V3))),0)</f>
        <v/>
      </c>
      <c r="AU29" s="29">
        <f>IF(AU$4&gt;=MORT_OPEN,IF(AU$4&lt;AUT_M1,0,IF(AU$4&lt;=AUT_M2,AUT_V1+(AUT_V2-AUT_V1)*(AU$4-AUT_M1)/(AUT_M2-AUT_M1),IF(AU$4&lt;=AUT_M3,AUT_V2+(AUT_V3-AUT_V2)*(AU$4-AUT_M2)/(AUT_M3-AUT_M2),AUT_V3))),0)</f>
        <v/>
      </c>
      <c r="AV29" s="29">
        <f>IF(AV$4&gt;=MORT_OPEN,IF(AV$4&lt;AUT_M1,0,IF(AV$4&lt;=AUT_M2,AUT_V1+(AUT_V2-AUT_V1)*(AV$4-AUT_M1)/(AUT_M2-AUT_M1),IF(AV$4&lt;=AUT_M3,AUT_V2+(AUT_V3-AUT_V2)*(AV$4-AUT_M2)/(AUT_M3-AUT_M2),AUT_V3))),0)</f>
        <v/>
      </c>
      <c r="AW29" s="29">
        <f>IF(AW$4&gt;=MORT_OPEN,IF(AW$4&lt;AUT_M1,0,IF(AW$4&lt;=AUT_M2,AUT_V1+(AUT_V2-AUT_V1)*(AW$4-AUT_M1)/(AUT_M2-AUT_M1),IF(AW$4&lt;=AUT_M3,AUT_V2+(AUT_V3-AUT_V2)*(AW$4-AUT_M2)/(AUT_M3-AUT_M2),AUT_V3))),0)</f>
        <v/>
      </c>
      <c r="AX29" s="29">
        <f>IF(AX$4&gt;=MORT_OPEN,IF(AX$4&lt;AUT_M1,0,IF(AX$4&lt;=AUT_M2,AUT_V1+(AUT_V2-AUT_V1)*(AX$4-AUT_M1)/(AUT_M2-AUT_M1),IF(AX$4&lt;=AUT_M3,AUT_V2+(AUT_V3-AUT_V2)*(AX$4-AUT_M2)/(AUT_M3-AUT_M2),AUT_V3))),0)</f>
        <v/>
      </c>
      <c r="AY29" s="29">
        <f>IF(AY$4&gt;=MORT_OPEN,IF(AY$4&lt;AUT_M1,0,IF(AY$4&lt;=AUT_M2,AUT_V1+(AUT_V2-AUT_V1)*(AY$4-AUT_M1)/(AUT_M2-AUT_M1),IF(AY$4&lt;=AUT_M3,AUT_V2+(AUT_V3-AUT_V2)*(AY$4-AUT_M2)/(AUT_M3-AUT_M2),AUT_V3))),0)</f>
        <v/>
      </c>
      <c r="AZ29" s="29">
        <f>IF(AZ$4&gt;=MORT_OPEN,IF(AZ$4&lt;AUT_M1,0,IF(AZ$4&lt;=AUT_M2,AUT_V1+(AUT_V2-AUT_V1)*(AZ$4-AUT_M1)/(AUT_M2-AUT_M1),IF(AZ$4&lt;=AUT_M3,AUT_V2+(AUT_V3-AUT_V2)*(AZ$4-AUT_M2)/(AUT_M3-AUT_M2),AUT_V3))),0)</f>
        <v/>
      </c>
      <c r="BA29" s="29">
        <f>IF(BA$4&gt;=MORT_OPEN,IF(BA$4&lt;AUT_M1,0,IF(BA$4&lt;=AUT_M2,AUT_V1+(AUT_V2-AUT_V1)*(BA$4-AUT_M1)/(AUT_M2-AUT_M1),IF(BA$4&lt;=AUT_M3,AUT_V2+(AUT_V3-AUT_V2)*(BA$4-AUT_M2)/(AUT_M3-AUT_M2),AUT_V3))),0)</f>
        <v/>
      </c>
      <c r="BB29" s="29">
        <f>IF(BB$4&gt;=MORT_OPEN,IF(BB$4&lt;AUT_M1,0,IF(BB$4&lt;=AUT_M2,AUT_V1+(AUT_V2-AUT_V1)*(BB$4-AUT_M1)/(AUT_M2-AUT_M1),IF(BB$4&lt;=AUT_M3,AUT_V2+(AUT_V3-AUT_V2)*(BB$4-AUT_M2)/(AUT_M3-AUT_M2),AUT_V3))),0)</f>
        <v/>
      </c>
      <c r="BC29" s="29">
        <f>IF(BC$4&gt;=MORT_OPEN,IF(BC$4&lt;AUT_M1,0,IF(BC$4&lt;=AUT_M2,AUT_V1+(AUT_V2-AUT_V1)*(BC$4-AUT_M1)/(AUT_M2-AUT_M1),IF(BC$4&lt;=AUT_M3,AUT_V2+(AUT_V3-AUT_V2)*(BC$4-AUT_M2)/(AUT_M3-AUT_M2),AUT_V3))),0)</f>
        <v/>
      </c>
      <c r="BD29" s="29">
        <f>IF(BD$4&gt;=MORT_OPEN,IF(BD$4&lt;AUT_M1,0,IF(BD$4&lt;=AUT_M2,AUT_V1+(AUT_V2-AUT_V1)*(BD$4-AUT_M1)/(AUT_M2-AUT_M1),IF(BD$4&lt;=AUT_M3,AUT_V2+(AUT_V3-AUT_V2)*(BD$4-AUT_M2)/(AUT_M3-AUT_M2),AUT_V3))),0)</f>
        <v/>
      </c>
      <c r="BE29" s="29">
        <f>IF(BE$4&gt;=MORT_OPEN,IF(BE$4&lt;AUT_M1,0,IF(BE$4&lt;=AUT_M2,AUT_V1+(AUT_V2-AUT_V1)*(BE$4-AUT_M1)/(AUT_M2-AUT_M1),IF(BE$4&lt;=AUT_M3,AUT_V2+(AUT_V3-AUT_V2)*(BE$4-AUT_M2)/(AUT_M3-AUT_M2),AUT_V3))),0)</f>
        <v/>
      </c>
      <c r="BF29" s="29">
        <f>IF(BF$4&gt;=MORT_OPEN,IF(BF$4&lt;AUT_M1,0,IF(BF$4&lt;=AUT_M2,AUT_V1+(AUT_V2-AUT_V1)*(BF$4-AUT_M1)/(AUT_M2-AUT_M1),IF(BF$4&lt;=AUT_M3,AUT_V2+(AUT_V3-AUT_V2)*(BF$4-AUT_M2)/(AUT_M3-AUT_M2),AUT_V3))),0)</f>
        <v/>
      </c>
      <c r="BG29" s="29">
        <f>IF(BG$4&gt;=MORT_OPEN,IF(BG$4&lt;AUT_M1,0,IF(BG$4&lt;=AUT_M2,AUT_V1+(AUT_V2-AUT_V1)*(BG$4-AUT_M1)/(AUT_M2-AUT_M1),IF(BG$4&lt;=AUT_M3,AUT_V2+(AUT_V3-AUT_V2)*(BG$4-AUT_M2)/(AUT_M3-AUT_M2),AUT_V3))),0)</f>
        <v/>
      </c>
      <c r="BH29" s="29">
        <f>IF(BH$4&gt;=MORT_OPEN,IF(BH$4&lt;AUT_M1,0,IF(BH$4&lt;=AUT_M2,AUT_V1+(AUT_V2-AUT_V1)*(BH$4-AUT_M1)/(AUT_M2-AUT_M1),IF(BH$4&lt;=AUT_M3,AUT_V2+(AUT_V3-AUT_V2)*(BH$4-AUT_M2)/(AUT_M3-AUT_M2),AUT_V3))),0)</f>
        <v/>
      </c>
      <c r="BI29" s="29">
        <f>IF(BI$4&gt;=MORT_OPEN,IF(BI$4&lt;AUT_M1,0,IF(BI$4&lt;=AUT_M2,AUT_V1+(AUT_V2-AUT_V1)*(BI$4-AUT_M1)/(AUT_M2-AUT_M1),IF(BI$4&lt;=AUT_M3,AUT_V2+(AUT_V3-AUT_V2)*(BI$4-AUT_M2)/(AUT_M3-AUT_M2),AUT_V3))),0)</f>
        <v/>
      </c>
      <c r="BJ29" s="29">
        <f>IF(BJ$4&gt;=MORT_OPEN,IF(BJ$4&lt;AUT_M1,0,IF(BJ$4&lt;=AUT_M2,AUT_V1+(AUT_V2-AUT_V1)*(BJ$4-AUT_M1)/(AUT_M2-AUT_M1),IF(BJ$4&lt;=AUT_M3,AUT_V2+(AUT_V3-AUT_V2)*(BJ$4-AUT_M2)/(AUT_M3-AUT_M2),AUT_V3))),0)</f>
        <v/>
      </c>
      <c r="BK29" s="29">
        <f>IF(BK$4&gt;=MORT_OPEN,IF(BK$4&lt;AUT_M1,0,IF(BK$4&lt;=AUT_M2,AUT_V1+(AUT_V2-AUT_V1)*(BK$4-AUT_M1)/(AUT_M2-AUT_M1),IF(BK$4&lt;=AUT_M3,AUT_V2+(AUT_V3-AUT_V2)*(BK$4-AUT_M2)/(AUT_M3-AUT_M2),AUT_V3))),0)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</row>
    <row r="31">
      <c r="A31" s="12" t="inlineStr">
        <is>
          <t>4. Software</t>
        </is>
      </c>
      <c r="B31" s="13" t="n"/>
      <c r="C31" s="1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</row>
    <row r="32">
      <c r="A32" s="14" t="inlineStr">
        <is>
          <t>Organisations licensing</t>
        </is>
      </c>
      <c r="B32" s="3" t="inlineStr">
        <is>
          <t>orgs</t>
        </is>
      </c>
      <c r="C32" s="2" t="n"/>
      <c r="D32" s="29">
        <f>IF(D$4&lt;SAAS_M1,0,IF(D$4&lt;=SAAS_M2,SAAS_V1+(SAAS_V2-SAAS_V1)*(D$4-SAAS_M1)/(SAAS_M2-SAAS_M1),IF(D$4&lt;=SAAS_M3,SAAS_V2+(SAAS_V3-SAAS_V2)*(D$4-SAAS_M2)/(SAAS_M3-SAAS_M2),SAAS_V3)))*SAAS_ON</f>
        <v/>
      </c>
      <c r="E32" s="29">
        <f>IF(E$4&lt;SAAS_M1,0,IF(E$4&lt;=SAAS_M2,SAAS_V1+(SAAS_V2-SAAS_V1)*(E$4-SAAS_M1)/(SAAS_M2-SAAS_M1),IF(E$4&lt;=SAAS_M3,SAAS_V2+(SAAS_V3-SAAS_V2)*(E$4-SAAS_M2)/(SAAS_M3-SAAS_M2),SAAS_V3)))*SAAS_ON</f>
        <v/>
      </c>
      <c r="F32" s="29">
        <f>IF(F$4&lt;SAAS_M1,0,IF(F$4&lt;=SAAS_M2,SAAS_V1+(SAAS_V2-SAAS_V1)*(F$4-SAAS_M1)/(SAAS_M2-SAAS_M1),IF(F$4&lt;=SAAS_M3,SAAS_V2+(SAAS_V3-SAAS_V2)*(F$4-SAAS_M2)/(SAAS_M3-SAAS_M2),SAAS_V3)))*SAAS_ON</f>
        <v/>
      </c>
      <c r="G32" s="29">
        <f>IF(G$4&lt;SAAS_M1,0,IF(G$4&lt;=SAAS_M2,SAAS_V1+(SAAS_V2-SAAS_V1)*(G$4-SAAS_M1)/(SAAS_M2-SAAS_M1),IF(G$4&lt;=SAAS_M3,SAAS_V2+(SAAS_V3-SAAS_V2)*(G$4-SAAS_M2)/(SAAS_M3-SAAS_M2),SAAS_V3)))*SAAS_ON</f>
        <v/>
      </c>
      <c r="H32" s="29">
        <f>IF(H$4&lt;SAAS_M1,0,IF(H$4&lt;=SAAS_M2,SAAS_V1+(SAAS_V2-SAAS_V1)*(H$4-SAAS_M1)/(SAAS_M2-SAAS_M1),IF(H$4&lt;=SAAS_M3,SAAS_V2+(SAAS_V3-SAAS_V2)*(H$4-SAAS_M2)/(SAAS_M3-SAAS_M2),SAAS_V3)))*SAAS_ON</f>
        <v/>
      </c>
      <c r="I32" s="29">
        <f>IF(I$4&lt;SAAS_M1,0,IF(I$4&lt;=SAAS_M2,SAAS_V1+(SAAS_V2-SAAS_V1)*(I$4-SAAS_M1)/(SAAS_M2-SAAS_M1),IF(I$4&lt;=SAAS_M3,SAAS_V2+(SAAS_V3-SAAS_V2)*(I$4-SAAS_M2)/(SAAS_M3-SAAS_M2),SAAS_V3)))*SAAS_ON</f>
        <v/>
      </c>
      <c r="J32" s="29">
        <f>IF(J$4&lt;SAAS_M1,0,IF(J$4&lt;=SAAS_M2,SAAS_V1+(SAAS_V2-SAAS_V1)*(J$4-SAAS_M1)/(SAAS_M2-SAAS_M1),IF(J$4&lt;=SAAS_M3,SAAS_V2+(SAAS_V3-SAAS_V2)*(J$4-SAAS_M2)/(SAAS_M3-SAAS_M2),SAAS_V3)))*SAAS_ON</f>
        <v/>
      </c>
      <c r="K32" s="29">
        <f>IF(K$4&lt;SAAS_M1,0,IF(K$4&lt;=SAAS_M2,SAAS_V1+(SAAS_V2-SAAS_V1)*(K$4-SAAS_M1)/(SAAS_M2-SAAS_M1),IF(K$4&lt;=SAAS_M3,SAAS_V2+(SAAS_V3-SAAS_V2)*(K$4-SAAS_M2)/(SAAS_M3-SAAS_M2),SAAS_V3)))*SAAS_ON</f>
        <v/>
      </c>
      <c r="L32" s="29">
        <f>IF(L$4&lt;SAAS_M1,0,IF(L$4&lt;=SAAS_M2,SAAS_V1+(SAAS_V2-SAAS_V1)*(L$4-SAAS_M1)/(SAAS_M2-SAAS_M1),IF(L$4&lt;=SAAS_M3,SAAS_V2+(SAAS_V3-SAAS_V2)*(L$4-SAAS_M2)/(SAAS_M3-SAAS_M2),SAAS_V3)))*SAAS_ON</f>
        <v/>
      </c>
      <c r="M32" s="29">
        <f>IF(M$4&lt;SAAS_M1,0,IF(M$4&lt;=SAAS_M2,SAAS_V1+(SAAS_V2-SAAS_V1)*(M$4-SAAS_M1)/(SAAS_M2-SAAS_M1),IF(M$4&lt;=SAAS_M3,SAAS_V2+(SAAS_V3-SAAS_V2)*(M$4-SAAS_M2)/(SAAS_M3-SAAS_M2),SAAS_V3)))*SAAS_ON</f>
        <v/>
      </c>
      <c r="N32" s="29">
        <f>IF(N$4&lt;SAAS_M1,0,IF(N$4&lt;=SAAS_M2,SAAS_V1+(SAAS_V2-SAAS_V1)*(N$4-SAAS_M1)/(SAAS_M2-SAAS_M1),IF(N$4&lt;=SAAS_M3,SAAS_V2+(SAAS_V3-SAAS_V2)*(N$4-SAAS_M2)/(SAAS_M3-SAAS_M2),SAAS_V3)))*SAAS_ON</f>
        <v/>
      </c>
      <c r="O32" s="29">
        <f>IF(O$4&lt;SAAS_M1,0,IF(O$4&lt;=SAAS_M2,SAAS_V1+(SAAS_V2-SAAS_V1)*(O$4-SAAS_M1)/(SAAS_M2-SAAS_M1),IF(O$4&lt;=SAAS_M3,SAAS_V2+(SAAS_V3-SAAS_V2)*(O$4-SAAS_M2)/(SAAS_M3-SAAS_M2),SAAS_V3)))*SAAS_ON</f>
        <v/>
      </c>
      <c r="P32" s="29">
        <f>IF(P$4&lt;SAAS_M1,0,IF(P$4&lt;=SAAS_M2,SAAS_V1+(SAAS_V2-SAAS_V1)*(P$4-SAAS_M1)/(SAAS_M2-SAAS_M1),IF(P$4&lt;=SAAS_M3,SAAS_V2+(SAAS_V3-SAAS_V2)*(P$4-SAAS_M2)/(SAAS_M3-SAAS_M2),SAAS_V3)))*SAAS_ON</f>
        <v/>
      </c>
      <c r="Q32" s="29">
        <f>IF(Q$4&lt;SAAS_M1,0,IF(Q$4&lt;=SAAS_M2,SAAS_V1+(SAAS_V2-SAAS_V1)*(Q$4-SAAS_M1)/(SAAS_M2-SAAS_M1),IF(Q$4&lt;=SAAS_M3,SAAS_V2+(SAAS_V3-SAAS_V2)*(Q$4-SAAS_M2)/(SAAS_M3-SAAS_M2),SAAS_V3)))*SAAS_ON</f>
        <v/>
      </c>
      <c r="R32" s="29">
        <f>IF(R$4&lt;SAAS_M1,0,IF(R$4&lt;=SAAS_M2,SAAS_V1+(SAAS_V2-SAAS_V1)*(R$4-SAAS_M1)/(SAAS_M2-SAAS_M1),IF(R$4&lt;=SAAS_M3,SAAS_V2+(SAAS_V3-SAAS_V2)*(R$4-SAAS_M2)/(SAAS_M3-SAAS_M2),SAAS_V3)))*SAAS_ON</f>
        <v/>
      </c>
      <c r="S32" s="29">
        <f>IF(S$4&lt;SAAS_M1,0,IF(S$4&lt;=SAAS_M2,SAAS_V1+(SAAS_V2-SAAS_V1)*(S$4-SAAS_M1)/(SAAS_M2-SAAS_M1),IF(S$4&lt;=SAAS_M3,SAAS_V2+(SAAS_V3-SAAS_V2)*(S$4-SAAS_M2)/(SAAS_M3-SAAS_M2),SAAS_V3)))*SAAS_ON</f>
        <v/>
      </c>
      <c r="T32" s="29">
        <f>IF(T$4&lt;SAAS_M1,0,IF(T$4&lt;=SAAS_M2,SAAS_V1+(SAAS_V2-SAAS_V1)*(T$4-SAAS_M1)/(SAAS_M2-SAAS_M1),IF(T$4&lt;=SAAS_M3,SAAS_V2+(SAAS_V3-SAAS_V2)*(T$4-SAAS_M2)/(SAAS_M3-SAAS_M2),SAAS_V3)))*SAAS_ON</f>
        <v/>
      </c>
      <c r="U32" s="29">
        <f>IF(U$4&lt;SAAS_M1,0,IF(U$4&lt;=SAAS_M2,SAAS_V1+(SAAS_V2-SAAS_V1)*(U$4-SAAS_M1)/(SAAS_M2-SAAS_M1),IF(U$4&lt;=SAAS_M3,SAAS_V2+(SAAS_V3-SAAS_V2)*(U$4-SAAS_M2)/(SAAS_M3-SAAS_M2),SAAS_V3)))*SAAS_ON</f>
        <v/>
      </c>
      <c r="V32" s="29">
        <f>IF(V$4&lt;SAAS_M1,0,IF(V$4&lt;=SAAS_M2,SAAS_V1+(SAAS_V2-SAAS_V1)*(V$4-SAAS_M1)/(SAAS_M2-SAAS_M1),IF(V$4&lt;=SAAS_M3,SAAS_V2+(SAAS_V3-SAAS_V2)*(V$4-SAAS_M2)/(SAAS_M3-SAAS_M2),SAAS_V3)))*SAAS_ON</f>
        <v/>
      </c>
      <c r="W32" s="29">
        <f>IF(W$4&lt;SAAS_M1,0,IF(W$4&lt;=SAAS_M2,SAAS_V1+(SAAS_V2-SAAS_V1)*(W$4-SAAS_M1)/(SAAS_M2-SAAS_M1),IF(W$4&lt;=SAAS_M3,SAAS_V2+(SAAS_V3-SAAS_V2)*(W$4-SAAS_M2)/(SAAS_M3-SAAS_M2),SAAS_V3)))*SAAS_ON</f>
        <v/>
      </c>
      <c r="X32" s="29">
        <f>IF(X$4&lt;SAAS_M1,0,IF(X$4&lt;=SAAS_M2,SAAS_V1+(SAAS_V2-SAAS_V1)*(X$4-SAAS_M1)/(SAAS_M2-SAAS_M1),IF(X$4&lt;=SAAS_M3,SAAS_V2+(SAAS_V3-SAAS_V2)*(X$4-SAAS_M2)/(SAAS_M3-SAAS_M2),SAAS_V3)))*SAAS_ON</f>
        <v/>
      </c>
      <c r="Y32" s="29">
        <f>IF(Y$4&lt;SAAS_M1,0,IF(Y$4&lt;=SAAS_M2,SAAS_V1+(SAAS_V2-SAAS_V1)*(Y$4-SAAS_M1)/(SAAS_M2-SAAS_M1),IF(Y$4&lt;=SAAS_M3,SAAS_V2+(SAAS_V3-SAAS_V2)*(Y$4-SAAS_M2)/(SAAS_M3-SAAS_M2),SAAS_V3)))*SAAS_ON</f>
        <v/>
      </c>
      <c r="Z32" s="29">
        <f>IF(Z$4&lt;SAAS_M1,0,IF(Z$4&lt;=SAAS_M2,SAAS_V1+(SAAS_V2-SAAS_V1)*(Z$4-SAAS_M1)/(SAAS_M2-SAAS_M1),IF(Z$4&lt;=SAAS_M3,SAAS_V2+(SAAS_V3-SAAS_V2)*(Z$4-SAAS_M2)/(SAAS_M3-SAAS_M2),SAAS_V3)))*SAAS_ON</f>
        <v/>
      </c>
      <c r="AA32" s="29">
        <f>IF(AA$4&lt;SAAS_M1,0,IF(AA$4&lt;=SAAS_M2,SAAS_V1+(SAAS_V2-SAAS_V1)*(AA$4-SAAS_M1)/(SAAS_M2-SAAS_M1),IF(AA$4&lt;=SAAS_M3,SAAS_V2+(SAAS_V3-SAAS_V2)*(AA$4-SAAS_M2)/(SAAS_M3-SAAS_M2),SAAS_V3)))*SAAS_ON</f>
        <v/>
      </c>
      <c r="AB32" s="29">
        <f>IF(AB$4&lt;SAAS_M1,0,IF(AB$4&lt;=SAAS_M2,SAAS_V1+(SAAS_V2-SAAS_V1)*(AB$4-SAAS_M1)/(SAAS_M2-SAAS_M1),IF(AB$4&lt;=SAAS_M3,SAAS_V2+(SAAS_V3-SAAS_V2)*(AB$4-SAAS_M2)/(SAAS_M3-SAAS_M2),SAAS_V3)))*SAAS_ON</f>
        <v/>
      </c>
      <c r="AC32" s="29">
        <f>IF(AC$4&lt;SAAS_M1,0,IF(AC$4&lt;=SAAS_M2,SAAS_V1+(SAAS_V2-SAAS_V1)*(AC$4-SAAS_M1)/(SAAS_M2-SAAS_M1),IF(AC$4&lt;=SAAS_M3,SAAS_V2+(SAAS_V3-SAAS_V2)*(AC$4-SAAS_M2)/(SAAS_M3-SAAS_M2),SAAS_V3)))*SAAS_ON</f>
        <v/>
      </c>
      <c r="AD32" s="29">
        <f>IF(AD$4&lt;SAAS_M1,0,IF(AD$4&lt;=SAAS_M2,SAAS_V1+(SAAS_V2-SAAS_V1)*(AD$4-SAAS_M1)/(SAAS_M2-SAAS_M1),IF(AD$4&lt;=SAAS_M3,SAAS_V2+(SAAS_V3-SAAS_V2)*(AD$4-SAAS_M2)/(SAAS_M3-SAAS_M2),SAAS_V3)))*SAAS_ON</f>
        <v/>
      </c>
      <c r="AE32" s="29">
        <f>IF(AE$4&lt;SAAS_M1,0,IF(AE$4&lt;=SAAS_M2,SAAS_V1+(SAAS_V2-SAAS_V1)*(AE$4-SAAS_M1)/(SAAS_M2-SAAS_M1),IF(AE$4&lt;=SAAS_M3,SAAS_V2+(SAAS_V3-SAAS_V2)*(AE$4-SAAS_M2)/(SAAS_M3-SAAS_M2),SAAS_V3)))*SAAS_ON</f>
        <v/>
      </c>
      <c r="AF32" s="29">
        <f>IF(AF$4&lt;SAAS_M1,0,IF(AF$4&lt;=SAAS_M2,SAAS_V1+(SAAS_V2-SAAS_V1)*(AF$4-SAAS_M1)/(SAAS_M2-SAAS_M1),IF(AF$4&lt;=SAAS_M3,SAAS_V2+(SAAS_V3-SAAS_V2)*(AF$4-SAAS_M2)/(SAAS_M3-SAAS_M2),SAAS_V3)))*SAAS_ON</f>
        <v/>
      </c>
      <c r="AG32" s="29">
        <f>IF(AG$4&lt;SAAS_M1,0,IF(AG$4&lt;=SAAS_M2,SAAS_V1+(SAAS_V2-SAAS_V1)*(AG$4-SAAS_M1)/(SAAS_M2-SAAS_M1),IF(AG$4&lt;=SAAS_M3,SAAS_V2+(SAAS_V3-SAAS_V2)*(AG$4-SAAS_M2)/(SAAS_M3-SAAS_M2),SAAS_V3)))*SAAS_ON</f>
        <v/>
      </c>
      <c r="AH32" s="29">
        <f>IF(AH$4&lt;SAAS_M1,0,IF(AH$4&lt;=SAAS_M2,SAAS_V1+(SAAS_V2-SAAS_V1)*(AH$4-SAAS_M1)/(SAAS_M2-SAAS_M1),IF(AH$4&lt;=SAAS_M3,SAAS_V2+(SAAS_V3-SAAS_V2)*(AH$4-SAAS_M2)/(SAAS_M3-SAAS_M2),SAAS_V3)))*SAAS_ON</f>
        <v/>
      </c>
      <c r="AI32" s="29">
        <f>IF(AI$4&lt;SAAS_M1,0,IF(AI$4&lt;=SAAS_M2,SAAS_V1+(SAAS_V2-SAAS_V1)*(AI$4-SAAS_M1)/(SAAS_M2-SAAS_M1),IF(AI$4&lt;=SAAS_M3,SAAS_V2+(SAAS_V3-SAAS_V2)*(AI$4-SAAS_M2)/(SAAS_M3-SAAS_M2),SAAS_V3)))*SAAS_ON</f>
        <v/>
      </c>
      <c r="AJ32" s="29">
        <f>IF(AJ$4&lt;SAAS_M1,0,IF(AJ$4&lt;=SAAS_M2,SAAS_V1+(SAAS_V2-SAAS_V1)*(AJ$4-SAAS_M1)/(SAAS_M2-SAAS_M1),IF(AJ$4&lt;=SAAS_M3,SAAS_V2+(SAAS_V3-SAAS_V2)*(AJ$4-SAAS_M2)/(SAAS_M3-SAAS_M2),SAAS_V3)))*SAAS_ON</f>
        <v/>
      </c>
      <c r="AK32" s="29">
        <f>IF(AK$4&lt;SAAS_M1,0,IF(AK$4&lt;=SAAS_M2,SAAS_V1+(SAAS_V2-SAAS_V1)*(AK$4-SAAS_M1)/(SAAS_M2-SAAS_M1),IF(AK$4&lt;=SAAS_M3,SAAS_V2+(SAAS_V3-SAAS_V2)*(AK$4-SAAS_M2)/(SAAS_M3-SAAS_M2),SAAS_V3)))*SAAS_ON</f>
        <v/>
      </c>
      <c r="AL32" s="29">
        <f>IF(AL$4&lt;SAAS_M1,0,IF(AL$4&lt;=SAAS_M2,SAAS_V1+(SAAS_V2-SAAS_V1)*(AL$4-SAAS_M1)/(SAAS_M2-SAAS_M1),IF(AL$4&lt;=SAAS_M3,SAAS_V2+(SAAS_V3-SAAS_V2)*(AL$4-SAAS_M2)/(SAAS_M3-SAAS_M2),SAAS_V3)))*SAAS_ON</f>
        <v/>
      </c>
      <c r="AM32" s="29">
        <f>IF(AM$4&lt;SAAS_M1,0,IF(AM$4&lt;=SAAS_M2,SAAS_V1+(SAAS_V2-SAAS_V1)*(AM$4-SAAS_M1)/(SAAS_M2-SAAS_M1),IF(AM$4&lt;=SAAS_M3,SAAS_V2+(SAAS_V3-SAAS_V2)*(AM$4-SAAS_M2)/(SAAS_M3-SAAS_M2),SAAS_V3)))*SAAS_ON</f>
        <v/>
      </c>
      <c r="AN32" s="29">
        <f>IF(AN$4&lt;SAAS_M1,0,IF(AN$4&lt;=SAAS_M2,SAAS_V1+(SAAS_V2-SAAS_V1)*(AN$4-SAAS_M1)/(SAAS_M2-SAAS_M1),IF(AN$4&lt;=SAAS_M3,SAAS_V2+(SAAS_V3-SAAS_V2)*(AN$4-SAAS_M2)/(SAAS_M3-SAAS_M2),SAAS_V3)))*SAAS_ON</f>
        <v/>
      </c>
      <c r="AO32" s="29">
        <f>IF(AO$4&lt;SAAS_M1,0,IF(AO$4&lt;=SAAS_M2,SAAS_V1+(SAAS_V2-SAAS_V1)*(AO$4-SAAS_M1)/(SAAS_M2-SAAS_M1),IF(AO$4&lt;=SAAS_M3,SAAS_V2+(SAAS_V3-SAAS_V2)*(AO$4-SAAS_M2)/(SAAS_M3-SAAS_M2),SAAS_V3)))*SAAS_ON</f>
        <v/>
      </c>
      <c r="AP32" s="29">
        <f>IF(AP$4&lt;SAAS_M1,0,IF(AP$4&lt;=SAAS_M2,SAAS_V1+(SAAS_V2-SAAS_V1)*(AP$4-SAAS_M1)/(SAAS_M2-SAAS_M1),IF(AP$4&lt;=SAAS_M3,SAAS_V2+(SAAS_V3-SAAS_V2)*(AP$4-SAAS_M2)/(SAAS_M3-SAAS_M2),SAAS_V3)))*SAAS_ON</f>
        <v/>
      </c>
      <c r="AQ32" s="29">
        <f>IF(AQ$4&lt;SAAS_M1,0,IF(AQ$4&lt;=SAAS_M2,SAAS_V1+(SAAS_V2-SAAS_V1)*(AQ$4-SAAS_M1)/(SAAS_M2-SAAS_M1),IF(AQ$4&lt;=SAAS_M3,SAAS_V2+(SAAS_V3-SAAS_V2)*(AQ$4-SAAS_M2)/(SAAS_M3-SAAS_M2),SAAS_V3)))*SAAS_ON</f>
        <v/>
      </c>
      <c r="AR32" s="29">
        <f>IF(AR$4&lt;SAAS_M1,0,IF(AR$4&lt;=SAAS_M2,SAAS_V1+(SAAS_V2-SAAS_V1)*(AR$4-SAAS_M1)/(SAAS_M2-SAAS_M1),IF(AR$4&lt;=SAAS_M3,SAAS_V2+(SAAS_V3-SAAS_V2)*(AR$4-SAAS_M2)/(SAAS_M3-SAAS_M2),SAAS_V3)))*SAAS_ON</f>
        <v/>
      </c>
      <c r="AS32" s="29">
        <f>IF(AS$4&lt;SAAS_M1,0,IF(AS$4&lt;=SAAS_M2,SAAS_V1+(SAAS_V2-SAAS_V1)*(AS$4-SAAS_M1)/(SAAS_M2-SAAS_M1),IF(AS$4&lt;=SAAS_M3,SAAS_V2+(SAAS_V3-SAAS_V2)*(AS$4-SAAS_M2)/(SAAS_M3-SAAS_M2),SAAS_V3)))*SAAS_ON</f>
        <v/>
      </c>
      <c r="AT32" s="29">
        <f>IF(AT$4&lt;SAAS_M1,0,IF(AT$4&lt;=SAAS_M2,SAAS_V1+(SAAS_V2-SAAS_V1)*(AT$4-SAAS_M1)/(SAAS_M2-SAAS_M1),IF(AT$4&lt;=SAAS_M3,SAAS_V2+(SAAS_V3-SAAS_V2)*(AT$4-SAAS_M2)/(SAAS_M3-SAAS_M2),SAAS_V3)))*SAAS_ON</f>
        <v/>
      </c>
      <c r="AU32" s="29">
        <f>IF(AU$4&lt;SAAS_M1,0,IF(AU$4&lt;=SAAS_M2,SAAS_V1+(SAAS_V2-SAAS_V1)*(AU$4-SAAS_M1)/(SAAS_M2-SAAS_M1),IF(AU$4&lt;=SAAS_M3,SAAS_V2+(SAAS_V3-SAAS_V2)*(AU$4-SAAS_M2)/(SAAS_M3-SAAS_M2),SAAS_V3)))*SAAS_ON</f>
        <v/>
      </c>
      <c r="AV32" s="29">
        <f>IF(AV$4&lt;SAAS_M1,0,IF(AV$4&lt;=SAAS_M2,SAAS_V1+(SAAS_V2-SAAS_V1)*(AV$4-SAAS_M1)/(SAAS_M2-SAAS_M1),IF(AV$4&lt;=SAAS_M3,SAAS_V2+(SAAS_V3-SAAS_V2)*(AV$4-SAAS_M2)/(SAAS_M3-SAAS_M2),SAAS_V3)))*SAAS_ON</f>
        <v/>
      </c>
      <c r="AW32" s="29">
        <f>IF(AW$4&lt;SAAS_M1,0,IF(AW$4&lt;=SAAS_M2,SAAS_V1+(SAAS_V2-SAAS_V1)*(AW$4-SAAS_M1)/(SAAS_M2-SAAS_M1),IF(AW$4&lt;=SAAS_M3,SAAS_V2+(SAAS_V3-SAAS_V2)*(AW$4-SAAS_M2)/(SAAS_M3-SAAS_M2),SAAS_V3)))*SAAS_ON</f>
        <v/>
      </c>
      <c r="AX32" s="29">
        <f>IF(AX$4&lt;SAAS_M1,0,IF(AX$4&lt;=SAAS_M2,SAAS_V1+(SAAS_V2-SAAS_V1)*(AX$4-SAAS_M1)/(SAAS_M2-SAAS_M1),IF(AX$4&lt;=SAAS_M3,SAAS_V2+(SAAS_V3-SAAS_V2)*(AX$4-SAAS_M2)/(SAAS_M3-SAAS_M2),SAAS_V3)))*SAAS_ON</f>
        <v/>
      </c>
      <c r="AY32" s="29">
        <f>IF(AY$4&lt;SAAS_M1,0,IF(AY$4&lt;=SAAS_M2,SAAS_V1+(SAAS_V2-SAAS_V1)*(AY$4-SAAS_M1)/(SAAS_M2-SAAS_M1),IF(AY$4&lt;=SAAS_M3,SAAS_V2+(SAAS_V3-SAAS_V2)*(AY$4-SAAS_M2)/(SAAS_M3-SAAS_M2),SAAS_V3)))*SAAS_ON</f>
        <v/>
      </c>
      <c r="AZ32" s="29">
        <f>IF(AZ$4&lt;SAAS_M1,0,IF(AZ$4&lt;=SAAS_M2,SAAS_V1+(SAAS_V2-SAAS_V1)*(AZ$4-SAAS_M1)/(SAAS_M2-SAAS_M1),IF(AZ$4&lt;=SAAS_M3,SAAS_V2+(SAAS_V3-SAAS_V2)*(AZ$4-SAAS_M2)/(SAAS_M3-SAAS_M2),SAAS_V3)))*SAAS_ON</f>
        <v/>
      </c>
      <c r="BA32" s="29">
        <f>IF(BA$4&lt;SAAS_M1,0,IF(BA$4&lt;=SAAS_M2,SAAS_V1+(SAAS_V2-SAAS_V1)*(BA$4-SAAS_M1)/(SAAS_M2-SAAS_M1),IF(BA$4&lt;=SAAS_M3,SAAS_V2+(SAAS_V3-SAAS_V2)*(BA$4-SAAS_M2)/(SAAS_M3-SAAS_M2),SAAS_V3)))*SAAS_ON</f>
        <v/>
      </c>
      <c r="BB32" s="29">
        <f>IF(BB$4&lt;SAAS_M1,0,IF(BB$4&lt;=SAAS_M2,SAAS_V1+(SAAS_V2-SAAS_V1)*(BB$4-SAAS_M1)/(SAAS_M2-SAAS_M1),IF(BB$4&lt;=SAAS_M3,SAAS_V2+(SAAS_V3-SAAS_V2)*(BB$4-SAAS_M2)/(SAAS_M3-SAAS_M2),SAAS_V3)))*SAAS_ON</f>
        <v/>
      </c>
      <c r="BC32" s="29">
        <f>IF(BC$4&lt;SAAS_M1,0,IF(BC$4&lt;=SAAS_M2,SAAS_V1+(SAAS_V2-SAAS_V1)*(BC$4-SAAS_M1)/(SAAS_M2-SAAS_M1),IF(BC$4&lt;=SAAS_M3,SAAS_V2+(SAAS_V3-SAAS_V2)*(BC$4-SAAS_M2)/(SAAS_M3-SAAS_M2),SAAS_V3)))*SAAS_ON</f>
        <v/>
      </c>
      <c r="BD32" s="29">
        <f>IF(BD$4&lt;SAAS_M1,0,IF(BD$4&lt;=SAAS_M2,SAAS_V1+(SAAS_V2-SAAS_V1)*(BD$4-SAAS_M1)/(SAAS_M2-SAAS_M1),IF(BD$4&lt;=SAAS_M3,SAAS_V2+(SAAS_V3-SAAS_V2)*(BD$4-SAAS_M2)/(SAAS_M3-SAAS_M2),SAAS_V3)))*SAAS_ON</f>
        <v/>
      </c>
      <c r="BE32" s="29">
        <f>IF(BE$4&lt;SAAS_M1,0,IF(BE$4&lt;=SAAS_M2,SAAS_V1+(SAAS_V2-SAAS_V1)*(BE$4-SAAS_M1)/(SAAS_M2-SAAS_M1),IF(BE$4&lt;=SAAS_M3,SAAS_V2+(SAAS_V3-SAAS_V2)*(BE$4-SAAS_M2)/(SAAS_M3-SAAS_M2),SAAS_V3)))*SAAS_ON</f>
        <v/>
      </c>
      <c r="BF32" s="29">
        <f>IF(BF$4&lt;SAAS_M1,0,IF(BF$4&lt;=SAAS_M2,SAAS_V1+(SAAS_V2-SAAS_V1)*(BF$4-SAAS_M1)/(SAAS_M2-SAAS_M1),IF(BF$4&lt;=SAAS_M3,SAAS_V2+(SAAS_V3-SAAS_V2)*(BF$4-SAAS_M2)/(SAAS_M3-SAAS_M2),SAAS_V3)))*SAAS_ON</f>
        <v/>
      </c>
      <c r="BG32" s="29">
        <f>IF(BG$4&lt;SAAS_M1,0,IF(BG$4&lt;=SAAS_M2,SAAS_V1+(SAAS_V2-SAAS_V1)*(BG$4-SAAS_M1)/(SAAS_M2-SAAS_M1),IF(BG$4&lt;=SAAS_M3,SAAS_V2+(SAAS_V3-SAAS_V2)*(BG$4-SAAS_M2)/(SAAS_M3-SAAS_M2),SAAS_V3)))*SAAS_ON</f>
        <v/>
      </c>
      <c r="BH32" s="29">
        <f>IF(BH$4&lt;SAAS_M1,0,IF(BH$4&lt;=SAAS_M2,SAAS_V1+(SAAS_V2-SAAS_V1)*(BH$4-SAAS_M1)/(SAAS_M2-SAAS_M1),IF(BH$4&lt;=SAAS_M3,SAAS_V2+(SAAS_V3-SAAS_V2)*(BH$4-SAAS_M2)/(SAAS_M3-SAAS_M2),SAAS_V3)))*SAAS_ON</f>
        <v/>
      </c>
      <c r="BI32" s="29">
        <f>IF(BI$4&lt;SAAS_M1,0,IF(BI$4&lt;=SAAS_M2,SAAS_V1+(SAAS_V2-SAAS_V1)*(BI$4-SAAS_M1)/(SAAS_M2-SAAS_M1),IF(BI$4&lt;=SAAS_M3,SAAS_V2+(SAAS_V3-SAAS_V2)*(BI$4-SAAS_M2)/(SAAS_M3-SAAS_M2),SAAS_V3)))*SAAS_ON</f>
        <v/>
      </c>
      <c r="BJ32" s="29">
        <f>IF(BJ$4&lt;SAAS_M1,0,IF(BJ$4&lt;=SAAS_M2,SAAS_V1+(SAAS_V2-SAAS_V1)*(BJ$4-SAAS_M1)/(SAAS_M2-SAAS_M1),IF(BJ$4&lt;=SAAS_M3,SAAS_V2+(SAAS_V3-SAAS_V2)*(BJ$4-SAAS_M2)/(SAAS_M3-SAAS_M2),SAAS_V3)))*SAAS_ON</f>
        <v/>
      </c>
      <c r="BK32" s="29">
        <f>IF(BK$4&lt;SAAS_M1,0,IF(BK$4&lt;=SAAS_M2,SAAS_V1+(SAAS_V2-SAAS_V1)*(BK$4-SAAS_M1)/(SAAS_M2-SAAS_M1),IF(BK$4&lt;=SAAS_M3,SAAS_V2+(SAAS_V3-SAAS_V2)*(BK$4-SAAS_M2)/(SAAS_M3-SAAS_M2),SAAS_V3)))*SAAS_ON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2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</cols>
  <sheetData>
    <row r="1">
      <c r="A1" s="1" t="inlineStr">
        <is>
          <t>Ilé: revenue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s="3" t="inlineStr">
        <is>
          <t>Twelve streams in four business lines. Naira a month.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</row>
    <row r="4">
      <c r="A4" s="4" t="inlineStr">
        <is>
          <t>Month</t>
        </is>
      </c>
      <c r="B4" s="2" t="n"/>
      <c r="C4" s="2" t="n"/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4" t="n">
        <v>37</v>
      </c>
      <c r="AO4" s="4" t="n">
        <v>38</v>
      </c>
      <c r="AP4" s="4" t="n">
        <v>39</v>
      </c>
      <c r="AQ4" s="4" t="n">
        <v>40</v>
      </c>
      <c r="AR4" s="4" t="n">
        <v>41</v>
      </c>
      <c r="AS4" s="4" t="n">
        <v>42</v>
      </c>
      <c r="AT4" s="4" t="n">
        <v>43</v>
      </c>
      <c r="AU4" s="4" t="n">
        <v>44</v>
      </c>
      <c r="AV4" s="4" t="n">
        <v>45</v>
      </c>
      <c r="AW4" s="4" t="n">
        <v>46</v>
      </c>
      <c r="AX4" s="4" t="n">
        <v>47</v>
      </c>
      <c r="AY4" s="4" t="n">
        <v>48</v>
      </c>
      <c r="AZ4" s="4" t="n">
        <v>49</v>
      </c>
      <c r="BA4" s="4" t="n">
        <v>50</v>
      </c>
      <c r="BB4" s="4" t="n">
        <v>51</v>
      </c>
      <c r="BC4" s="4" t="n">
        <v>52</v>
      </c>
      <c r="BD4" s="4" t="n">
        <v>53</v>
      </c>
      <c r="BE4" s="4" t="n">
        <v>54</v>
      </c>
      <c r="BF4" s="4" t="n">
        <v>55</v>
      </c>
      <c r="BG4" s="4" t="n">
        <v>56</v>
      </c>
      <c r="BH4" s="4" t="n">
        <v>57</v>
      </c>
      <c r="BI4" s="4" t="n">
        <v>58</v>
      </c>
      <c r="BJ4" s="4" t="n">
        <v>59</v>
      </c>
      <c r="BK4" s="4" t="n">
        <v>60</v>
      </c>
    </row>
    <row r="5">
      <c r="A5" s="4" t="inlineStr">
        <is>
          <t>Period</t>
        </is>
      </c>
      <c r="B5" s="2" t="n"/>
      <c r="C5" s="2" t="n"/>
      <c r="D5" s="28" t="inlineStr">
        <is>
          <t>Nov 2026</t>
        </is>
      </c>
      <c r="E5" s="28" t="inlineStr">
        <is>
          <t>Dec 2026</t>
        </is>
      </c>
      <c r="F5" s="28" t="inlineStr">
        <is>
          <t>Jan 2027</t>
        </is>
      </c>
      <c r="G5" s="28" t="inlineStr">
        <is>
          <t>Feb 2027</t>
        </is>
      </c>
      <c r="H5" s="28" t="inlineStr">
        <is>
          <t>Mar 2027</t>
        </is>
      </c>
      <c r="I5" s="28" t="inlineStr">
        <is>
          <t>Apr 2027</t>
        </is>
      </c>
      <c r="J5" s="28" t="inlineStr">
        <is>
          <t>May 2027</t>
        </is>
      </c>
      <c r="K5" s="28" t="inlineStr">
        <is>
          <t>Jun 2027</t>
        </is>
      </c>
      <c r="L5" s="28" t="inlineStr">
        <is>
          <t>Jul 2027</t>
        </is>
      </c>
      <c r="M5" s="28" t="inlineStr">
        <is>
          <t>Aug 2027</t>
        </is>
      </c>
      <c r="N5" s="28" t="inlineStr">
        <is>
          <t>Sep 2027</t>
        </is>
      </c>
      <c r="O5" s="28" t="inlineStr">
        <is>
          <t>Oct 2027</t>
        </is>
      </c>
      <c r="P5" s="28" t="inlineStr">
        <is>
          <t>Nov 2027</t>
        </is>
      </c>
      <c r="Q5" s="28" t="inlineStr">
        <is>
          <t>Dec 2027</t>
        </is>
      </c>
      <c r="R5" s="28" t="inlineStr">
        <is>
          <t>Jan 2028</t>
        </is>
      </c>
      <c r="S5" s="28" t="inlineStr">
        <is>
          <t>Feb 2028</t>
        </is>
      </c>
      <c r="T5" s="28" t="inlineStr">
        <is>
          <t>Mar 2028</t>
        </is>
      </c>
      <c r="U5" s="28" t="inlineStr">
        <is>
          <t>Apr 2028</t>
        </is>
      </c>
      <c r="V5" s="28" t="inlineStr">
        <is>
          <t>May 2028</t>
        </is>
      </c>
      <c r="W5" s="28" t="inlineStr">
        <is>
          <t>Jun 2028</t>
        </is>
      </c>
      <c r="X5" s="28" t="inlineStr">
        <is>
          <t>Jul 2028</t>
        </is>
      </c>
      <c r="Y5" s="28" t="inlineStr">
        <is>
          <t>Aug 2028</t>
        </is>
      </c>
      <c r="Z5" s="28" t="inlineStr">
        <is>
          <t>Sep 2028</t>
        </is>
      </c>
      <c r="AA5" s="28" t="inlineStr">
        <is>
          <t>Oct 2028</t>
        </is>
      </c>
      <c r="AB5" s="28" t="inlineStr">
        <is>
          <t>Nov 2028</t>
        </is>
      </c>
      <c r="AC5" s="28" t="inlineStr">
        <is>
          <t>Dec 2028</t>
        </is>
      </c>
      <c r="AD5" s="28" t="inlineStr">
        <is>
          <t>Jan 2029</t>
        </is>
      </c>
      <c r="AE5" s="28" t="inlineStr">
        <is>
          <t>Feb 2029</t>
        </is>
      </c>
      <c r="AF5" s="28" t="inlineStr">
        <is>
          <t>Mar 2029</t>
        </is>
      </c>
      <c r="AG5" s="28" t="inlineStr">
        <is>
          <t>Apr 2029</t>
        </is>
      </c>
      <c r="AH5" s="28" t="inlineStr">
        <is>
          <t>May 2029</t>
        </is>
      </c>
      <c r="AI5" s="28" t="inlineStr">
        <is>
          <t>Jun 2029</t>
        </is>
      </c>
      <c r="AJ5" s="28" t="inlineStr">
        <is>
          <t>Jul 2029</t>
        </is>
      </c>
      <c r="AK5" s="28" t="inlineStr">
        <is>
          <t>Aug 2029</t>
        </is>
      </c>
      <c r="AL5" s="28" t="inlineStr">
        <is>
          <t>Sep 2029</t>
        </is>
      </c>
      <c r="AM5" s="28" t="inlineStr">
        <is>
          <t>Oct 2029</t>
        </is>
      </c>
      <c r="AN5" s="28" t="inlineStr">
        <is>
          <t>Nov 2029</t>
        </is>
      </c>
      <c r="AO5" s="28" t="inlineStr">
        <is>
          <t>Dec 2029</t>
        </is>
      </c>
      <c r="AP5" s="28" t="inlineStr">
        <is>
          <t>Jan 2030</t>
        </is>
      </c>
      <c r="AQ5" s="28" t="inlineStr">
        <is>
          <t>Feb 2030</t>
        </is>
      </c>
      <c r="AR5" s="28" t="inlineStr">
        <is>
          <t>Mar 2030</t>
        </is>
      </c>
      <c r="AS5" s="28" t="inlineStr">
        <is>
          <t>Apr 2030</t>
        </is>
      </c>
      <c r="AT5" s="28" t="inlineStr">
        <is>
          <t>May 2030</t>
        </is>
      </c>
      <c r="AU5" s="28" t="inlineStr">
        <is>
          <t>Jun 2030</t>
        </is>
      </c>
      <c r="AV5" s="28" t="inlineStr">
        <is>
          <t>Jul 2030</t>
        </is>
      </c>
      <c r="AW5" s="28" t="inlineStr">
        <is>
          <t>Aug 2030</t>
        </is>
      </c>
      <c r="AX5" s="28" t="inlineStr">
        <is>
          <t>Sep 2030</t>
        </is>
      </c>
      <c r="AY5" s="28" t="inlineStr">
        <is>
          <t>Oct 2030</t>
        </is>
      </c>
      <c r="AZ5" s="28" t="inlineStr">
        <is>
          <t>Nov 2030</t>
        </is>
      </c>
      <c r="BA5" s="28" t="inlineStr">
        <is>
          <t>Dec 2030</t>
        </is>
      </c>
      <c r="BB5" s="28" t="inlineStr">
        <is>
          <t>Jan 2031</t>
        </is>
      </c>
      <c r="BC5" s="28" t="inlineStr">
        <is>
          <t>Feb 2031</t>
        </is>
      </c>
      <c r="BD5" s="28" t="inlineStr">
        <is>
          <t>Mar 2031</t>
        </is>
      </c>
      <c r="BE5" s="28" t="inlineStr">
        <is>
          <t>Apr 2031</t>
        </is>
      </c>
      <c r="BF5" s="28" t="inlineStr">
        <is>
          <t>May 2031</t>
        </is>
      </c>
      <c r="BG5" s="28" t="inlineStr">
        <is>
          <t>Jun 2031</t>
        </is>
      </c>
      <c r="BH5" s="28" t="inlineStr">
        <is>
          <t>Jul 2031</t>
        </is>
      </c>
      <c r="BI5" s="28" t="inlineStr">
        <is>
          <t>Aug 2031</t>
        </is>
      </c>
      <c r="BJ5" s="28" t="inlineStr">
        <is>
          <t>Sep 2031</t>
        </is>
      </c>
      <c r="BK5" s="28" t="inlineStr">
        <is>
          <t>Oct 2031</t>
        </is>
      </c>
    </row>
    <row r="6">
      <c r="A6" s="4" t="inlineStr">
        <is>
          <t>Model year</t>
        </is>
      </c>
      <c r="B6" s="2" t="n"/>
      <c r="C6" s="2" t="n"/>
      <c r="D6" s="14">
        <f>INT((D$4-1)/12)+1</f>
        <v/>
      </c>
      <c r="E6" s="14">
        <f>INT((E$4-1)/12)+1</f>
        <v/>
      </c>
      <c r="F6" s="14">
        <f>INT((F$4-1)/12)+1</f>
        <v/>
      </c>
      <c r="G6" s="14">
        <f>INT((G$4-1)/12)+1</f>
        <v/>
      </c>
      <c r="H6" s="14">
        <f>INT((H$4-1)/12)+1</f>
        <v/>
      </c>
      <c r="I6" s="14">
        <f>INT((I$4-1)/12)+1</f>
        <v/>
      </c>
      <c r="J6" s="14">
        <f>INT((J$4-1)/12)+1</f>
        <v/>
      </c>
      <c r="K6" s="14">
        <f>INT((K$4-1)/12)+1</f>
        <v/>
      </c>
      <c r="L6" s="14">
        <f>INT((L$4-1)/12)+1</f>
        <v/>
      </c>
      <c r="M6" s="14">
        <f>INT((M$4-1)/12)+1</f>
        <v/>
      </c>
      <c r="N6" s="14">
        <f>INT((N$4-1)/12)+1</f>
        <v/>
      </c>
      <c r="O6" s="14">
        <f>INT((O$4-1)/12)+1</f>
        <v/>
      </c>
      <c r="P6" s="14">
        <f>INT((P$4-1)/12)+1</f>
        <v/>
      </c>
      <c r="Q6" s="14">
        <f>INT((Q$4-1)/12)+1</f>
        <v/>
      </c>
      <c r="R6" s="14">
        <f>INT((R$4-1)/12)+1</f>
        <v/>
      </c>
      <c r="S6" s="14">
        <f>INT((S$4-1)/12)+1</f>
        <v/>
      </c>
      <c r="T6" s="14">
        <f>INT((T$4-1)/12)+1</f>
        <v/>
      </c>
      <c r="U6" s="14">
        <f>INT((U$4-1)/12)+1</f>
        <v/>
      </c>
      <c r="V6" s="14">
        <f>INT((V$4-1)/12)+1</f>
        <v/>
      </c>
      <c r="W6" s="14">
        <f>INT((W$4-1)/12)+1</f>
        <v/>
      </c>
      <c r="X6" s="14">
        <f>INT((X$4-1)/12)+1</f>
        <v/>
      </c>
      <c r="Y6" s="14">
        <f>INT((Y$4-1)/12)+1</f>
        <v/>
      </c>
      <c r="Z6" s="14">
        <f>INT((Z$4-1)/12)+1</f>
        <v/>
      </c>
      <c r="AA6" s="14">
        <f>INT((AA$4-1)/12)+1</f>
        <v/>
      </c>
      <c r="AB6" s="14">
        <f>INT((AB$4-1)/12)+1</f>
        <v/>
      </c>
      <c r="AC6" s="14">
        <f>INT((AC$4-1)/12)+1</f>
        <v/>
      </c>
      <c r="AD6" s="14">
        <f>INT((AD$4-1)/12)+1</f>
        <v/>
      </c>
      <c r="AE6" s="14">
        <f>INT((AE$4-1)/12)+1</f>
        <v/>
      </c>
      <c r="AF6" s="14">
        <f>INT((AF$4-1)/12)+1</f>
        <v/>
      </c>
      <c r="AG6" s="14">
        <f>INT((AG$4-1)/12)+1</f>
        <v/>
      </c>
      <c r="AH6" s="14">
        <f>INT((AH$4-1)/12)+1</f>
        <v/>
      </c>
      <c r="AI6" s="14">
        <f>INT((AI$4-1)/12)+1</f>
        <v/>
      </c>
      <c r="AJ6" s="14">
        <f>INT((AJ$4-1)/12)+1</f>
        <v/>
      </c>
      <c r="AK6" s="14">
        <f>INT((AK$4-1)/12)+1</f>
        <v/>
      </c>
      <c r="AL6" s="14">
        <f>INT((AL$4-1)/12)+1</f>
        <v/>
      </c>
      <c r="AM6" s="14">
        <f>INT((AM$4-1)/12)+1</f>
        <v/>
      </c>
      <c r="AN6" s="14">
        <f>INT((AN$4-1)/12)+1</f>
        <v/>
      </c>
      <c r="AO6" s="14">
        <f>INT((AO$4-1)/12)+1</f>
        <v/>
      </c>
      <c r="AP6" s="14">
        <f>INT((AP$4-1)/12)+1</f>
        <v/>
      </c>
      <c r="AQ6" s="14">
        <f>INT((AQ$4-1)/12)+1</f>
        <v/>
      </c>
      <c r="AR6" s="14">
        <f>INT((AR$4-1)/12)+1</f>
        <v/>
      </c>
      <c r="AS6" s="14">
        <f>INT((AS$4-1)/12)+1</f>
        <v/>
      </c>
      <c r="AT6" s="14">
        <f>INT((AT$4-1)/12)+1</f>
        <v/>
      </c>
      <c r="AU6" s="14">
        <f>INT((AU$4-1)/12)+1</f>
        <v/>
      </c>
      <c r="AV6" s="14">
        <f>INT((AV$4-1)/12)+1</f>
        <v/>
      </c>
      <c r="AW6" s="14">
        <f>INT((AW$4-1)/12)+1</f>
        <v/>
      </c>
      <c r="AX6" s="14">
        <f>INT((AX$4-1)/12)+1</f>
        <v/>
      </c>
      <c r="AY6" s="14">
        <f>INT((AY$4-1)/12)+1</f>
        <v/>
      </c>
      <c r="AZ6" s="14">
        <f>INT((AZ$4-1)/12)+1</f>
        <v/>
      </c>
      <c r="BA6" s="14">
        <f>INT((BA$4-1)/12)+1</f>
        <v/>
      </c>
      <c r="BB6" s="14">
        <f>INT((BB$4-1)/12)+1</f>
        <v/>
      </c>
      <c r="BC6" s="14">
        <f>INT((BC$4-1)/12)+1</f>
        <v/>
      </c>
      <c r="BD6" s="14">
        <f>INT((BD$4-1)/12)+1</f>
        <v/>
      </c>
      <c r="BE6" s="14">
        <f>INT((BE$4-1)/12)+1</f>
        <v/>
      </c>
      <c r="BF6" s="14">
        <f>INT((BF$4-1)/12)+1</f>
        <v/>
      </c>
      <c r="BG6" s="14">
        <f>INT((BG$4-1)/12)+1</f>
        <v/>
      </c>
      <c r="BH6" s="14">
        <f>INT((BH$4-1)/12)+1</f>
        <v/>
      </c>
      <c r="BI6" s="14">
        <f>INT((BI$4-1)/12)+1</f>
        <v/>
      </c>
      <c r="BJ6" s="14">
        <f>INT((BJ$4-1)/12)+1</f>
        <v/>
      </c>
      <c r="BK6" s="14">
        <f>INT((BK$4-1)/12)+1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</row>
    <row r="8">
      <c r="A8" s="12" t="inlineStr">
        <is>
          <t>1. Care in the home</t>
        </is>
      </c>
      <c r="B8" s="13" t="n"/>
      <c r="C8" s="1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</row>
    <row r="9">
      <c r="A9" s="14" t="inlineStr">
        <is>
          <t>Concierge geriatric care</t>
        </is>
      </c>
      <c r="B9" s="3" t="inlineStr"/>
      <c r="C9" s="2" t="n"/>
      <c r="D9" s="24">
        <f>'Volumes'!D10*CONC_FEE</f>
        <v/>
      </c>
      <c r="E9" s="24">
        <f>'Volumes'!E10*CONC_FEE</f>
        <v/>
      </c>
      <c r="F9" s="24">
        <f>'Volumes'!F10*CONC_FEE</f>
        <v/>
      </c>
      <c r="G9" s="24">
        <f>'Volumes'!G10*CONC_FEE</f>
        <v/>
      </c>
      <c r="H9" s="24">
        <f>'Volumes'!H10*CONC_FEE</f>
        <v/>
      </c>
      <c r="I9" s="24">
        <f>'Volumes'!I10*CONC_FEE</f>
        <v/>
      </c>
      <c r="J9" s="24">
        <f>'Volumes'!J10*CONC_FEE</f>
        <v/>
      </c>
      <c r="K9" s="24">
        <f>'Volumes'!K10*CONC_FEE</f>
        <v/>
      </c>
      <c r="L9" s="24">
        <f>'Volumes'!L10*CONC_FEE</f>
        <v/>
      </c>
      <c r="M9" s="24">
        <f>'Volumes'!M10*CONC_FEE</f>
        <v/>
      </c>
      <c r="N9" s="24">
        <f>'Volumes'!N10*CONC_FEE</f>
        <v/>
      </c>
      <c r="O9" s="24">
        <f>'Volumes'!O10*CONC_FEE</f>
        <v/>
      </c>
      <c r="P9" s="24">
        <f>'Volumes'!P10*CONC_FEE</f>
        <v/>
      </c>
      <c r="Q9" s="24">
        <f>'Volumes'!Q10*CONC_FEE</f>
        <v/>
      </c>
      <c r="R9" s="24">
        <f>'Volumes'!R10*CONC_FEE</f>
        <v/>
      </c>
      <c r="S9" s="24">
        <f>'Volumes'!S10*CONC_FEE</f>
        <v/>
      </c>
      <c r="T9" s="24">
        <f>'Volumes'!T10*CONC_FEE</f>
        <v/>
      </c>
      <c r="U9" s="24">
        <f>'Volumes'!U10*CONC_FEE</f>
        <v/>
      </c>
      <c r="V9" s="24">
        <f>'Volumes'!V10*CONC_FEE</f>
        <v/>
      </c>
      <c r="W9" s="24">
        <f>'Volumes'!W10*CONC_FEE</f>
        <v/>
      </c>
      <c r="X9" s="24">
        <f>'Volumes'!X10*CONC_FEE</f>
        <v/>
      </c>
      <c r="Y9" s="24">
        <f>'Volumes'!Y10*CONC_FEE</f>
        <v/>
      </c>
      <c r="Z9" s="24">
        <f>'Volumes'!Z10*CONC_FEE</f>
        <v/>
      </c>
      <c r="AA9" s="24">
        <f>'Volumes'!AA10*CONC_FEE</f>
        <v/>
      </c>
      <c r="AB9" s="24">
        <f>'Volumes'!AB10*CONC_FEE</f>
        <v/>
      </c>
      <c r="AC9" s="24">
        <f>'Volumes'!AC10*CONC_FEE</f>
        <v/>
      </c>
      <c r="AD9" s="24">
        <f>'Volumes'!AD10*CONC_FEE</f>
        <v/>
      </c>
      <c r="AE9" s="24">
        <f>'Volumes'!AE10*CONC_FEE</f>
        <v/>
      </c>
      <c r="AF9" s="24">
        <f>'Volumes'!AF10*CONC_FEE</f>
        <v/>
      </c>
      <c r="AG9" s="24">
        <f>'Volumes'!AG10*CONC_FEE</f>
        <v/>
      </c>
      <c r="AH9" s="24">
        <f>'Volumes'!AH10*CONC_FEE</f>
        <v/>
      </c>
      <c r="AI9" s="24">
        <f>'Volumes'!AI10*CONC_FEE</f>
        <v/>
      </c>
      <c r="AJ9" s="24">
        <f>'Volumes'!AJ10*CONC_FEE</f>
        <v/>
      </c>
      <c r="AK9" s="24">
        <f>'Volumes'!AK10*CONC_FEE</f>
        <v/>
      </c>
      <c r="AL9" s="24">
        <f>'Volumes'!AL10*CONC_FEE</f>
        <v/>
      </c>
      <c r="AM9" s="24">
        <f>'Volumes'!AM10*CONC_FEE</f>
        <v/>
      </c>
      <c r="AN9" s="24">
        <f>'Volumes'!AN10*CONC_FEE</f>
        <v/>
      </c>
      <c r="AO9" s="24">
        <f>'Volumes'!AO10*CONC_FEE</f>
        <v/>
      </c>
      <c r="AP9" s="24">
        <f>'Volumes'!AP10*CONC_FEE</f>
        <v/>
      </c>
      <c r="AQ9" s="24">
        <f>'Volumes'!AQ10*CONC_FEE</f>
        <v/>
      </c>
      <c r="AR9" s="24">
        <f>'Volumes'!AR10*CONC_FEE</f>
        <v/>
      </c>
      <c r="AS9" s="24">
        <f>'Volumes'!AS10*CONC_FEE</f>
        <v/>
      </c>
      <c r="AT9" s="24">
        <f>'Volumes'!AT10*CONC_FEE</f>
        <v/>
      </c>
      <c r="AU9" s="24">
        <f>'Volumes'!AU10*CONC_FEE</f>
        <v/>
      </c>
      <c r="AV9" s="24">
        <f>'Volumes'!AV10*CONC_FEE</f>
        <v/>
      </c>
      <c r="AW9" s="24">
        <f>'Volumes'!AW10*CONC_FEE</f>
        <v/>
      </c>
      <c r="AX9" s="24">
        <f>'Volumes'!AX10*CONC_FEE</f>
        <v/>
      </c>
      <c r="AY9" s="24">
        <f>'Volumes'!AY10*CONC_FEE</f>
        <v/>
      </c>
      <c r="AZ9" s="24">
        <f>'Volumes'!AZ10*CONC_FEE</f>
        <v/>
      </c>
      <c r="BA9" s="24">
        <f>'Volumes'!BA10*CONC_FEE</f>
        <v/>
      </c>
      <c r="BB9" s="24">
        <f>'Volumes'!BB10*CONC_FEE</f>
        <v/>
      </c>
      <c r="BC9" s="24">
        <f>'Volumes'!BC10*CONC_FEE</f>
        <v/>
      </c>
      <c r="BD9" s="24">
        <f>'Volumes'!BD10*CONC_FEE</f>
        <v/>
      </c>
      <c r="BE9" s="24">
        <f>'Volumes'!BE10*CONC_FEE</f>
        <v/>
      </c>
      <c r="BF9" s="24">
        <f>'Volumes'!BF10*CONC_FEE</f>
        <v/>
      </c>
      <c r="BG9" s="24">
        <f>'Volumes'!BG10*CONC_FEE</f>
        <v/>
      </c>
      <c r="BH9" s="24">
        <f>'Volumes'!BH10*CONC_FEE</f>
        <v/>
      </c>
      <c r="BI9" s="24">
        <f>'Volumes'!BI10*CONC_FEE</f>
        <v/>
      </c>
      <c r="BJ9" s="24">
        <f>'Volumes'!BJ10*CONC_FEE</f>
        <v/>
      </c>
      <c r="BK9" s="24">
        <f>'Volumes'!BK10*CONC_FEE</f>
        <v/>
      </c>
    </row>
    <row r="10">
      <c r="A10" s="14" t="inlineStr">
        <is>
          <t>Care at home</t>
        </is>
      </c>
      <c r="B10" s="3" t="inlineStr"/>
      <c r="C10" s="2" t="n"/>
      <c r="D10" s="24">
        <f>'Volumes'!D9*HOME_ARPU</f>
        <v/>
      </c>
      <c r="E10" s="24">
        <f>'Volumes'!E9*HOME_ARPU</f>
        <v/>
      </c>
      <c r="F10" s="24">
        <f>'Volumes'!F9*HOME_ARPU</f>
        <v/>
      </c>
      <c r="G10" s="24">
        <f>'Volumes'!G9*HOME_ARPU</f>
        <v/>
      </c>
      <c r="H10" s="24">
        <f>'Volumes'!H9*HOME_ARPU</f>
        <v/>
      </c>
      <c r="I10" s="24">
        <f>'Volumes'!I9*HOME_ARPU</f>
        <v/>
      </c>
      <c r="J10" s="24">
        <f>'Volumes'!J9*HOME_ARPU</f>
        <v/>
      </c>
      <c r="K10" s="24">
        <f>'Volumes'!K9*HOME_ARPU</f>
        <v/>
      </c>
      <c r="L10" s="24">
        <f>'Volumes'!L9*HOME_ARPU</f>
        <v/>
      </c>
      <c r="M10" s="24">
        <f>'Volumes'!M9*HOME_ARPU</f>
        <v/>
      </c>
      <c r="N10" s="24">
        <f>'Volumes'!N9*HOME_ARPU</f>
        <v/>
      </c>
      <c r="O10" s="24">
        <f>'Volumes'!O9*HOME_ARPU</f>
        <v/>
      </c>
      <c r="P10" s="24">
        <f>'Volumes'!P9*HOME_ARPU</f>
        <v/>
      </c>
      <c r="Q10" s="24">
        <f>'Volumes'!Q9*HOME_ARPU</f>
        <v/>
      </c>
      <c r="R10" s="24">
        <f>'Volumes'!R9*HOME_ARPU</f>
        <v/>
      </c>
      <c r="S10" s="24">
        <f>'Volumes'!S9*HOME_ARPU</f>
        <v/>
      </c>
      <c r="T10" s="24">
        <f>'Volumes'!T9*HOME_ARPU</f>
        <v/>
      </c>
      <c r="U10" s="24">
        <f>'Volumes'!U9*HOME_ARPU</f>
        <v/>
      </c>
      <c r="V10" s="24">
        <f>'Volumes'!V9*HOME_ARPU</f>
        <v/>
      </c>
      <c r="W10" s="24">
        <f>'Volumes'!W9*HOME_ARPU</f>
        <v/>
      </c>
      <c r="X10" s="24">
        <f>'Volumes'!X9*HOME_ARPU</f>
        <v/>
      </c>
      <c r="Y10" s="24">
        <f>'Volumes'!Y9*HOME_ARPU</f>
        <v/>
      </c>
      <c r="Z10" s="24">
        <f>'Volumes'!Z9*HOME_ARPU</f>
        <v/>
      </c>
      <c r="AA10" s="24">
        <f>'Volumes'!AA9*HOME_ARPU</f>
        <v/>
      </c>
      <c r="AB10" s="24">
        <f>'Volumes'!AB9*HOME_ARPU</f>
        <v/>
      </c>
      <c r="AC10" s="24">
        <f>'Volumes'!AC9*HOME_ARPU</f>
        <v/>
      </c>
      <c r="AD10" s="24">
        <f>'Volumes'!AD9*HOME_ARPU</f>
        <v/>
      </c>
      <c r="AE10" s="24">
        <f>'Volumes'!AE9*HOME_ARPU</f>
        <v/>
      </c>
      <c r="AF10" s="24">
        <f>'Volumes'!AF9*HOME_ARPU</f>
        <v/>
      </c>
      <c r="AG10" s="24">
        <f>'Volumes'!AG9*HOME_ARPU</f>
        <v/>
      </c>
      <c r="AH10" s="24">
        <f>'Volumes'!AH9*HOME_ARPU</f>
        <v/>
      </c>
      <c r="AI10" s="24">
        <f>'Volumes'!AI9*HOME_ARPU</f>
        <v/>
      </c>
      <c r="AJ10" s="24">
        <f>'Volumes'!AJ9*HOME_ARPU</f>
        <v/>
      </c>
      <c r="AK10" s="24">
        <f>'Volumes'!AK9*HOME_ARPU</f>
        <v/>
      </c>
      <c r="AL10" s="24">
        <f>'Volumes'!AL9*HOME_ARPU</f>
        <v/>
      </c>
      <c r="AM10" s="24">
        <f>'Volumes'!AM9*HOME_ARPU</f>
        <v/>
      </c>
      <c r="AN10" s="24">
        <f>'Volumes'!AN9*HOME_ARPU</f>
        <v/>
      </c>
      <c r="AO10" s="24">
        <f>'Volumes'!AO9*HOME_ARPU</f>
        <v/>
      </c>
      <c r="AP10" s="24">
        <f>'Volumes'!AP9*HOME_ARPU</f>
        <v/>
      </c>
      <c r="AQ10" s="24">
        <f>'Volumes'!AQ9*HOME_ARPU</f>
        <v/>
      </c>
      <c r="AR10" s="24">
        <f>'Volumes'!AR9*HOME_ARPU</f>
        <v/>
      </c>
      <c r="AS10" s="24">
        <f>'Volumes'!AS9*HOME_ARPU</f>
        <v/>
      </c>
      <c r="AT10" s="24">
        <f>'Volumes'!AT9*HOME_ARPU</f>
        <v/>
      </c>
      <c r="AU10" s="24">
        <f>'Volumes'!AU9*HOME_ARPU</f>
        <v/>
      </c>
      <c r="AV10" s="24">
        <f>'Volumes'!AV9*HOME_ARPU</f>
        <v/>
      </c>
      <c r="AW10" s="24">
        <f>'Volumes'!AW9*HOME_ARPU</f>
        <v/>
      </c>
      <c r="AX10" s="24">
        <f>'Volumes'!AX9*HOME_ARPU</f>
        <v/>
      </c>
      <c r="AY10" s="24">
        <f>'Volumes'!AY9*HOME_ARPU</f>
        <v/>
      </c>
      <c r="AZ10" s="24">
        <f>'Volumes'!AZ9*HOME_ARPU</f>
        <v/>
      </c>
      <c r="BA10" s="24">
        <f>'Volumes'!BA9*HOME_ARPU</f>
        <v/>
      </c>
      <c r="BB10" s="24">
        <f>'Volumes'!BB9*HOME_ARPU</f>
        <v/>
      </c>
      <c r="BC10" s="24">
        <f>'Volumes'!BC9*HOME_ARPU</f>
        <v/>
      </c>
      <c r="BD10" s="24">
        <f>'Volumes'!BD9*HOME_ARPU</f>
        <v/>
      </c>
      <c r="BE10" s="24">
        <f>'Volumes'!BE9*HOME_ARPU</f>
        <v/>
      </c>
      <c r="BF10" s="24">
        <f>'Volumes'!BF9*HOME_ARPU</f>
        <v/>
      </c>
      <c r="BG10" s="24">
        <f>'Volumes'!BG9*HOME_ARPU</f>
        <v/>
      </c>
      <c r="BH10" s="24">
        <f>'Volumes'!BH9*HOME_ARPU</f>
        <v/>
      </c>
      <c r="BI10" s="24">
        <f>'Volumes'!BI9*HOME_ARPU</f>
        <v/>
      </c>
      <c r="BJ10" s="24">
        <f>'Volumes'!BJ9*HOME_ARPU</f>
        <v/>
      </c>
      <c r="BK10" s="24">
        <f>'Volumes'!BK9*HOME_ARPU</f>
        <v/>
      </c>
    </row>
    <row r="11">
      <c r="A11" s="14" t="inlineStr">
        <is>
          <t>Virtual consultations</t>
        </is>
      </c>
      <c r="B11" s="3" t="inlineStr"/>
      <c r="C11" s="2" t="n"/>
      <c r="D11" s="24">
        <f>'Volumes'!D11*CONS_FEE</f>
        <v/>
      </c>
      <c r="E11" s="24">
        <f>'Volumes'!E11*CONS_FEE</f>
        <v/>
      </c>
      <c r="F11" s="24">
        <f>'Volumes'!F11*CONS_FEE</f>
        <v/>
      </c>
      <c r="G11" s="24">
        <f>'Volumes'!G11*CONS_FEE</f>
        <v/>
      </c>
      <c r="H11" s="24">
        <f>'Volumes'!H11*CONS_FEE</f>
        <v/>
      </c>
      <c r="I11" s="24">
        <f>'Volumes'!I11*CONS_FEE</f>
        <v/>
      </c>
      <c r="J11" s="24">
        <f>'Volumes'!J11*CONS_FEE</f>
        <v/>
      </c>
      <c r="K11" s="24">
        <f>'Volumes'!K11*CONS_FEE</f>
        <v/>
      </c>
      <c r="L11" s="24">
        <f>'Volumes'!L11*CONS_FEE</f>
        <v/>
      </c>
      <c r="M11" s="24">
        <f>'Volumes'!M11*CONS_FEE</f>
        <v/>
      </c>
      <c r="N11" s="24">
        <f>'Volumes'!N11*CONS_FEE</f>
        <v/>
      </c>
      <c r="O11" s="24">
        <f>'Volumes'!O11*CONS_FEE</f>
        <v/>
      </c>
      <c r="P11" s="24">
        <f>'Volumes'!P11*CONS_FEE</f>
        <v/>
      </c>
      <c r="Q11" s="24">
        <f>'Volumes'!Q11*CONS_FEE</f>
        <v/>
      </c>
      <c r="R11" s="24">
        <f>'Volumes'!R11*CONS_FEE</f>
        <v/>
      </c>
      <c r="S11" s="24">
        <f>'Volumes'!S11*CONS_FEE</f>
        <v/>
      </c>
      <c r="T11" s="24">
        <f>'Volumes'!T11*CONS_FEE</f>
        <v/>
      </c>
      <c r="U11" s="24">
        <f>'Volumes'!U11*CONS_FEE</f>
        <v/>
      </c>
      <c r="V11" s="24">
        <f>'Volumes'!V11*CONS_FEE</f>
        <v/>
      </c>
      <c r="W11" s="24">
        <f>'Volumes'!W11*CONS_FEE</f>
        <v/>
      </c>
      <c r="X11" s="24">
        <f>'Volumes'!X11*CONS_FEE</f>
        <v/>
      </c>
      <c r="Y11" s="24">
        <f>'Volumes'!Y11*CONS_FEE</f>
        <v/>
      </c>
      <c r="Z11" s="24">
        <f>'Volumes'!Z11*CONS_FEE</f>
        <v/>
      </c>
      <c r="AA11" s="24">
        <f>'Volumes'!AA11*CONS_FEE</f>
        <v/>
      </c>
      <c r="AB11" s="24">
        <f>'Volumes'!AB11*CONS_FEE</f>
        <v/>
      </c>
      <c r="AC11" s="24">
        <f>'Volumes'!AC11*CONS_FEE</f>
        <v/>
      </c>
      <c r="AD11" s="24">
        <f>'Volumes'!AD11*CONS_FEE</f>
        <v/>
      </c>
      <c r="AE11" s="24">
        <f>'Volumes'!AE11*CONS_FEE</f>
        <v/>
      </c>
      <c r="AF11" s="24">
        <f>'Volumes'!AF11*CONS_FEE</f>
        <v/>
      </c>
      <c r="AG11" s="24">
        <f>'Volumes'!AG11*CONS_FEE</f>
        <v/>
      </c>
      <c r="AH11" s="24">
        <f>'Volumes'!AH11*CONS_FEE</f>
        <v/>
      </c>
      <c r="AI11" s="24">
        <f>'Volumes'!AI11*CONS_FEE</f>
        <v/>
      </c>
      <c r="AJ11" s="24">
        <f>'Volumes'!AJ11*CONS_FEE</f>
        <v/>
      </c>
      <c r="AK11" s="24">
        <f>'Volumes'!AK11*CONS_FEE</f>
        <v/>
      </c>
      <c r="AL11" s="24">
        <f>'Volumes'!AL11*CONS_FEE</f>
        <v/>
      </c>
      <c r="AM11" s="24">
        <f>'Volumes'!AM11*CONS_FEE</f>
        <v/>
      </c>
      <c r="AN11" s="24">
        <f>'Volumes'!AN11*CONS_FEE</f>
        <v/>
      </c>
      <c r="AO11" s="24">
        <f>'Volumes'!AO11*CONS_FEE</f>
        <v/>
      </c>
      <c r="AP11" s="24">
        <f>'Volumes'!AP11*CONS_FEE</f>
        <v/>
      </c>
      <c r="AQ11" s="24">
        <f>'Volumes'!AQ11*CONS_FEE</f>
        <v/>
      </c>
      <c r="AR11" s="24">
        <f>'Volumes'!AR11*CONS_FEE</f>
        <v/>
      </c>
      <c r="AS11" s="24">
        <f>'Volumes'!AS11*CONS_FEE</f>
        <v/>
      </c>
      <c r="AT11" s="24">
        <f>'Volumes'!AT11*CONS_FEE</f>
        <v/>
      </c>
      <c r="AU11" s="24">
        <f>'Volumes'!AU11*CONS_FEE</f>
        <v/>
      </c>
      <c r="AV11" s="24">
        <f>'Volumes'!AV11*CONS_FEE</f>
        <v/>
      </c>
      <c r="AW11" s="24">
        <f>'Volumes'!AW11*CONS_FEE</f>
        <v/>
      </c>
      <c r="AX11" s="24">
        <f>'Volumes'!AX11*CONS_FEE</f>
        <v/>
      </c>
      <c r="AY11" s="24">
        <f>'Volumes'!AY11*CONS_FEE</f>
        <v/>
      </c>
      <c r="AZ11" s="24">
        <f>'Volumes'!AZ11*CONS_FEE</f>
        <v/>
      </c>
      <c r="BA11" s="24">
        <f>'Volumes'!BA11*CONS_FEE</f>
        <v/>
      </c>
      <c r="BB11" s="24">
        <f>'Volumes'!BB11*CONS_FEE</f>
        <v/>
      </c>
      <c r="BC11" s="24">
        <f>'Volumes'!BC11*CONS_FEE</f>
        <v/>
      </c>
      <c r="BD11" s="24">
        <f>'Volumes'!BD11*CONS_FEE</f>
        <v/>
      </c>
      <c r="BE11" s="24">
        <f>'Volumes'!BE11*CONS_FEE</f>
        <v/>
      </c>
      <c r="BF11" s="24">
        <f>'Volumes'!BF11*CONS_FEE</f>
        <v/>
      </c>
      <c r="BG11" s="24">
        <f>'Volumes'!BG11*CONS_FEE</f>
        <v/>
      </c>
      <c r="BH11" s="24">
        <f>'Volumes'!BH11*CONS_FEE</f>
        <v/>
      </c>
      <c r="BI11" s="24">
        <f>'Volumes'!BI11*CONS_FEE</f>
        <v/>
      </c>
      <c r="BJ11" s="24">
        <f>'Volumes'!BJ11*CONS_FEE</f>
        <v/>
      </c>
      <c r="BK11" s="24">
        <f>'Volumes'!BK11*CONS_FEE</f>
        <v/>
      </c>
    </row>
    <row r="12">
      <c r="A12" s="14" t="inlineStr">
        <is>
          <t>Post-operative rehabilitation</t>
        </is>
      </c>
      <c r="B12" s="3" t="inlineStr"/>
      <c r="C12" s="2" t="n"/>
      <c r="D12" s="24">
        <f>'Volumes'!D12*REHAB_FEE</f>
        <v/>
      </c>
      <c r="E12" s="24">
        <f>'Volumes'!E12*REHAB_FEE</f>
        <v/>
      </c>
      <c r="F12" s="24">
        <f>'Volumes'!F12*REHAB_FEE</f>
        <v/>
      </c>
      <c r="G12" s="24">
        <f>'Volumes'!G12*REHAB_FEE</f>
        <v/>
      </c>
      <c r="H12" s="24">
        <f>'Volumes'!H12*REHAB_FEE</f>
        <v/>
      </c>
      <c r="I12" s="24">
        <f>'Volumes'!I12*REHAB_FEE</f>
        <v/>
      </c>
      <c r="J12" s="24">
        <f>'Volumes'!J12*REHAB_FEE</f>
        <v/>
      </c>
      <c r="K12" s="24">
        <f>'Volumes'!K12*REHAB_FEE</f>
        <v/>
      </c>
      <c r="L12" s="24">
        <f>'Volumes'!L12*REHAB_FEE</f>
        <v/>
      </c>
      <c r="M12" s="24">
        <f>'Volumes'!M12*REHAB_FEE</f>
        <v/>
      </c>
      <c r="N12" s="24">
        <f>'Volumes'!N12*REHAB_FEE</f>
        <v/>
      </c>
      <c r="O12" s="24">
        <f>'Volumes'!O12*REHAB_FEE</f>
        <v/>
      </c>
      <c r="P12" s="24">
        <f>'Volumes'!P12*REHAB_FEE</f>
        <v/>
      </c>
      <c r="Q12" s="24">
        <f>'Volumes'!Q12*REHAB_FEE</f>
        <v/>
      </c>
      <c r="R12" s="24">
        <f>'Volumes'!R12*REHAB_FEE</f>
        <v/>
      </c>
      <c r="S12" s="24">
        <f>'Volumes'!S12*REHAB_FEE</f>
        <v/>
      </c>
      <c r="T12" s="24">
        <f>'Volumes'!T12*REHAB_FEE</f>
        <v/>
      </c>
      <c r="U12" s="24">
        <f>'Volumes'!U12*REHAB_FEE</f>
        <v/>
      </c>
      <c r="V12" s="24">
        <f>'Volumes'!V12*REHAB_FEE</f>
        <v/>
      </c>
      <c r="W12" s="24">
        <f>'Volumes'!W12*REHAB_FEE</f>
        <v/>
      </c>
      <c r="X12" s="24">
        <f>'Volumes'!X12*REHAB_FEE</f>
        <v/>
      </c>
      <c r="Y12" s="24">
        <f>'Volumes'!Y12*REHAB_FEE</f>
        <v/>
      </c>
      <c r="Z12" s="24">
        <f>'Volumes'!Z12*REHAB_FEE</f>
        <v/>
      </c>
      <c r="AA12" s="24">
        <f>'Volumes'!AA12*REHAB_FEE</f>
        <v/>
      </c>
      <c r="AB12" s="24">
        <f>'Volumes'!AB12*REHAB_FEE</f>
        <v/>
      </c>
      <c r="AC12" s="24">
        <f>'Volumes'!AC12*REHAB_FEE</f>
        <v/>
      </c>
      <c r="AD12" s="24">
        <f>'Volumes'!AD12*REHAB_FEE</f>
        <v/>
      </c>
      <c r="AE12" s="24">
        <f>'Volumes'!AE12*REHAB_FEE</f>
        <v/>
      </c>
      <c r="AF12" s="24">
        <f>'Volumes'!AF12*REHAB_FEE</f>
        <v/>
      </c>
      <c r="AG12" s="24">
        <f>'Volumes'!AG12*REHAB_FEE</f>
        <v/>
      </c>
      <c r="AH12" s="24">
        <f>'Volumes'!AH12*REHAB_FEE</f>
        <v/>
      </c>
      <c r="AI12" s="24">
        <f>'Volumes'!AI12*REHAB_FEE</f>
        <v/>
      </c>
      <c r="AJ12" s="24">
        <f>'Volumes'!AJ12*REHAB_FEE</f>
        <v/>
      </c>
      <c r="AK12" s="24">
        <f>'Volumes'!AK12*REHAB_FEE</f>
        <v/>
      </c>
      <c r="AL12" s="24">
        <f>'Volumes'!AL12*REHAB_FEE</f>
        <v/>
      </c>
      <c r="AM12" s="24">
        <f>'Volumes'!AM12*REHAB_FEE</f>
        <v/>
      </c>
      <c r="AN12" s="24">
        <f>'Volumes'!AN12*REHAB_FEE</f>
        <v/>
      </c>
      <c r="AO12" s="24">
        <f>'Volumes'!AO12*REHAB_FEE</f>
        <v/>
      </c>
      <c r="AP12" s="24">
        <f>'Volumes'!AP12*REHAB_FEE</f>
        <v/>
      </c>
      <c r="AQ12" s="24">
        <f>'Volumes'!AQ12*REHAB_FEE</f>
        <v/>
      </c>
      <c r="AR12" s="24">
        <f>'Volumes'!AR12*REHAB_FEE</f>
        <v/>
      </c>
      <c r="AS12" s="24">
        <f>'Volumes'!AS12*REHAB_FEE</f>
        <v/>
      </c>
      <c r="AT12" s="24">
        <f>'Volumes'!AT12*REHAB_FEE</f>
        <v/>
      </c>
      <c r="AU12" s="24">
        <f>'Volumes'!AU12*REHAB_FEE</f>
        <v/>
      </c>
      <c r="AV12" s="24">
        <f>'Volumes'!AV12*REHAB_FEE</f>
        <v/>
      </c>
      <c r="AW12" s="24">
        <f>'Volumes'!AW12*REHAB_FEE</f>
        <v/>
      </c>
      <c r="AX12" s="24">
        <f>'Volumes'!AX12*REHAB_FEE</f>
        <v/>
      </c>
      <c r="AY12" s="24">
        <f>'Volumes'!AY12*REHAB_FEE</f>
        <v/>
      </c>
      <c r="AZ12" s="24">
        <f>'Volumes'!AZ12*REHAB_FEE</f>
        <v/>
      </c>
      <c r="BA12" s="24">
        <f>'Volumes'!BA12*REHAB_FEE</f>
        <v/>
      </c>
      <c r="BB12" s="24">
        <f>'Volumes'!BB12*REHAB_FEE</f>
        <v/>
      </c>
      <c r="BC12" s="24">
        <f>'Volumes'!BC12*REHAB_FEE</f>
        <v/>
      </c>
      <c r="BD12" s="24">
        <f>'Volumes'!BD12*REHAB_FEE</f>
        <v/>
      </c>
      <c r="BE12" s="24">
        <f>'Volumes'!BE12*REHAB_FEE</f>
        <v/>
      </c>
      <c r="BF12" s="24">
        <f>'Volumes'!BF12*REHAB_FEE</f>
        <v/>
      </c>
      <c r="BG12" s="24">
        <f>'Volumes'!BG12*REHAB_FEE</f>
        <v/>
      </c>
      <c r="BH12" s="24">
        <f>'Volumes'!BH12*REHAB_FEE</f>
        <v/>
      </c>
      <c r="BI12" s="24">
        <f>'Volumes'!BI12*REHAB_FEE</f>
        <v/>
      </c>
      <c r="BJ12" s="24">
        <f>'Volumes'!BJ12*REHAB_FEE</f>
        <v/>
      </c>
      <c r="BK12" s="24">
        <f>'Volumes'!BK12*REHAB_FEE</f>
        <v/>
      </c>
    </row>
    <row r="13">
      <c r="A13" s="14" t="inlineStr">
        <is>
          <t>Palliative care at home</t>
        </is>
      </c>
      <c r="B13" s="3" t="inlineStr"/>
      <c r="C13" s="2" t="n"/>
      <c r="D13" s="24">
        <f>'Volumes'!D13*PALLH_FEE</f>
        <v/>
      </c>
      <c r="E13" s="24">
        <f>'Volumes'!E13*PALLH_FEE</f>
        <v/>
      </c>
      <c r="F13" s="24">
        <f>'Volumes'!F13*PALLH_FEE</f>
        <v/>
      </c>
      <c r="G13" s="24">
        <f>'Volumes'!G13*PALLH_FEE</f>
        <v/>
      </c>
      <c r="H13" s="24">
        <f>'Volumes'!H13*PALLH_FEE</f>
        <v/>
      </c>
      <c r="I13" s="24">
        <f>'Volumes'!I13*PALLH_FEE</f>
        <v/>
      </c>
      <c r="J13" s="24">
        <f>'Volumes'!J13*PALLH_FEE</f>
        <v/>
      </c>
      <c r="K13" s="24">
        <f>'Volumes'!K13*PALLH_FEE</f>
        <v/>
      </c>
      <c r="L13" s="24">
        <f>'Volumes'!L13*PALLH_FEE</f>
        <v/>
      </c>
      <c r="M13" s="24">
        <f>'Volumes'!M13*PALLH_FEE</f>
        <v/>
      </c>
      <c r="N13" s="24">
        <f>'Volumes'!N13*PALLH_FEE</f>
        <v/>
      </c>
      <c r="O13" s="24">
        <f>'Volumes'!O13*PALLH_FEE</f>
        <v/>
      </c>
      <c r="P13" s="24">
        <f>'Volumes'!P13*PALLH_FEE</f>
        <v/>
      </c>
      <c r="Q13" s="24">
        <f>'Volumes'!Q13*PALLH_FEE</f>
        <v/>
      </c>
      <c r="R13" s="24">
        <f>'Volumes'!R13*PALLH_FEE</f>
        <v/>
      </c>
      <c r="S13" s="24">
        <f>'Volumes'!S13*PALLH_FEE</f>
        <v/>
      </c>
      <c r="T13" s="24">
        <f>'Volumes'!T13*PALLH_FEE</f>
        <v/>
      </c>
      <c r="U13" s="24">
        <f>'Volumes'!U13*PALLH_FEE</f>
        <v/>
      </c>
      <c r="V13" s="24">
        <f>'Volumes'!V13*PALLH_FEE</f>
        <v/>
      </c>
      <c r="W13" s="24">
        <f>'Volumes'!W13*PALLH_FEE</f>
        <v/>
      </c>
      <c r="X13" s="24">
        <f>'Volumes'!X13*PALLH_FEE</f>
        <v/>
      </c>
      <c r="Y13" s="24">
        <f>'Volumes'!Y13*PALLH_FEE</f>
        <v/>
      </c>
      <c r="Z13" s="24">
        <f>'Volumes'!Z13*PALLH_FEE</f>
        <v/>
      </c>
      <c r="AA13" s="24">
        <f>'Volumes'!AA13*PALLH_FEE</f>
        <v/>
      </c>
      <c r="AB13" s="24">
        <f>'Volumes'!AB13*PALLH_FEE</f>
        <v/>
      </c>
      <c r="AC13" s="24">
        <f>'Volumes'!AC13*PALLH_FEE</f>
        <v/>
      </c>
      <c r="AD13" s="24">
        <f>'Volumes'!AD13*PALLH_FEE</f>
        <v/>
      </c>
      <c r="AE13" s="24">
        <f>'Volumes'!AE13*PALLH_FEE</f>
        <v/>
      </c>
      <c r="AF13" s="24">
        <f>'Volumes'!AF13*PALLH_FEE</f>
        <v/>
      </c>
      <c r="AG13" s="24">
        <f>'Volumes'!AG13*PALLH_FEE</f>
        <v/>
      </c>
      <c r="AH13" s="24">
        <f>'Volumes'!AH13*PALLH_FEE</f>
        <v/>
      </c>
      <c r="AI13" s="24">
        <f>'Volumes'!AI13*PALLH_FEE</f>
        <v/>
      </c>
      <c r="AJ13" s="24">
        <f>'Volumes'!AJ13*PALLH_FEE</f>
        <v/>
      </c>
      <c r="AK13" s="24">
        <f>'Volumes'!AK13*PALLH_FEE</f>
        <v/>
      </c>
      <c r="AL13" s="24">
        <f>'Volumes'!AL13*PALLH_FEE</f>
        <v/>
      </c>
      <c r="AM13" s="24">
        <f>'Volumes'!AM13*PALLH_FEE</f>
        <v/>
      </c>
      <c r="AN13" s="24">
        <f>'Volumes'!AN13*PALLH_FEE</f>
        <v/>
      </c>
      <c r="AO13" s="24">
        <f>'Volumes'!AO13*PALLH_FEE</f>
        <v/>
      </c>
      <c r="AP13" s="24">
        <f>'Volumes'!AP13*PALLH_FEE</f>
        <v/>
      </c>
      <c r="AQ13" s="24">
        <f>'Volumes'!AQ13*PALLH_FEE</f>
        <v/>
      </c>
      <c r="AR13" s="24">
        <f>'Volumes'!AR13*PALLH_FEE</f>
        <v/>
      </c>
      <c r="AS13" s="24">
        <f>'Volumes'!AS13*PALLH_FEE</f>
        <v/>
      </c>
      <c r="AT13" s="24">
        <f>'Volumes'!AT13*PALLH_FEE</f>
        <v/>
      </c>
      <c r="AU13" s="24">
        <f>'Volumes'!AU13*PALLH_FEE</f>
        <v/>
      </c>
      <c r="AV13" s="24">
        <f>'Volumes'!AV13*PALLH_FEE</f>
        <v/>
      </c>
      <c r="AW13" s="24">
        <f>'Volumes'!AW13*PALLH_FEE</f>
        <v/>
      </c>
      <c r="AX13" s="24">
        <f>'Volumes'!AX13*PALLH_FEE</f>
        <v/>
      </c>
      <c r="AY13" s="24">
        <f>'Volumes'!AY13*PALLH_FEE</f>
        <v/>
      </c>
      <c r="AZ13" s="24">
        <f>'Volumes'!AZ13*PALLH_FEE</f>
        <v/>
      </c>
      <c r="BA13" s="24">
        <f>'Volumes'!BA13*PALLH_FEE</f>
        <v/>
      </c>
      <c r="BB13" s="24">
        <f>'Volumes'!BB13*PALLH_FEE</f>
        <v/>
      </c>
      <c r="BC13" s="24">
        <f>'Volumes'!BC13*PALLH_FEE</f>
        <v/>
      </c>
      <c r="BD13" s="24">
        <f>'Volumes'!BD13*PALLH_FEE</f>
        <v/>
      </c>
      <c r="BE13" s="24">
        <f>'Volumes'!BE13*PALLH_FEE</f>
        <v/>
      </c>
      <c r="BF13" s="24">
        <f>'Volumes'!BF13*PALLH_FEE</f>
        <v/>
      </c>
      <c r="BG13" s="24">
        <f>'Volumes'!BG13*PALLH_FEE</f>
        <v/>
      </c>
      <c r="BH13" s="24">
        <f>'Volumes'!BH13*PALLH_FEE</f>
        <v/>
      </c>
      <c r="BI13" s="24">
        <f>'Volumes'!BI13*PALLH_FEE</f>
        <v/>
      </c>
      <c r="BJ13" s="24">
        <f>'Volumes'!BJ13*PALLH_FEE</f>
        <v/>
      </c>
      <c r="BK13" s="24">
        <f>'Volumes'!BK13*PALLH_FEE</f>
        <v/>
      </c>
    </row>
    <row r="14">
      <c r="A14" s="30" t="inlineStr">
        <is>
          <t>Care in the home</t>
        </is>
      </c>
      <c r="B14" s="3" t="inlineStr"/>
      <c r="C14" s="2" t="n"/>
      <c r="D14" s="33">
        <f>SUM(D9:D13)</f>
        <v/>
      </c>
      <c r="E14" s="33">
        <f>SUM(E9:E13)</f>
        <v/>
      </c>
      <c r="F14" s="33">
        <f>SUM(F9:F13)</f>
        <v/>
      </c>
      <c r="G14" s="33">
        <f>SUM(G9:G13)</f>
        <v/>
      </c>
      <c r="H14" s="33">
        <f>SUM(H9:H13)</f>
        <v/>
      </c>
      <c r="I14" s="33">
        <f>SUM(I9:I13)</f>
        <v/>
      </c>
      <c r="J14" s="33">
        <f>SUM(J9:J13)</f>
        <v/>
      </c>
      <c r="K14" s="33">
        <f>SUM(K9:K13)</f>
        <v/>
      </c>
      <c r="L14" s="33">
        <f>SUM(L9:L13)</f>
        <v/>
      </c>
      <c r="M14" s="33">
        <f>SUM(M9:M13)</f>
        <v/>
      </c>
      <c r="N14" s="33">
        <f>SUM(N9:N13)</f>
        <v/>
      </c>
      <c r="O14" s="33">
        <f>SUM(O9:O13)</f>
        <v/>
      </c>
      <c r="P14" s="33">
        <f>SUM(P9:P13)</f>
        <v/>
      </c>
      <c r="Q14" s="33">
        <f>SUM(Q9:Q13)</f>
        <v/>
      </c>
      <c r="R14" s="33">
        <f>SUM(R9:R13)</f>
        <v/>
      </c>
      <c r="S14" s="33">
        <f>SUM(S9:S13)</f>
        <v/>
      </c>
      <c r="T14" s="33">
        <f>SUM(T9:T13)</f>
        <v/>
      </c>
      <c r="U14" s="33">
        <f>SUM(U9:U13)</f>
        <v/>
      </c>
      <c r="V14" s="33">
        <f>SUM(V9:V13)</f>
        <v/>
      </c>
      <c r="W14" s="33">
        <f>SUM(W9:W13)</f>
        <v/>
      </c>
      <c r="X14" s="33">
        <f>SUM(X9:X13)</f>
        <v/>
      </c>
      <c r="Y14" s="33">
        <f>SUM(Y9:Y13)</f>
        <v/>
      </c>
      <c r="Z14" s="33">
        <f>SUM(Z9:Z13)</f>
        <v/>
      </c>
      <c r="AA14" s="33">
        <f>SUM(AA9:AA13)</f>
        <v/>
      </c>
      <c r="AB14" s="33">
        <f>SUM(AB9:AB13)</f>
        <v/>
      </c>
      <c r="AC14" s="33">
        <f>SUM(AC9:AC13)</f>
        <v/>
      </c>
      <c r="AD14" s="33">
        <f>SUM(AD9:AD13)</f>
        <v/>
      </c>
      <c r="AE14" s="33">
        <f>SUM(AE9:AE13)</f>
        <v/>
      </c>
      <c r="AF14" s="33">
        <f>SUM(AF9:AF13)</f>
        <v/>
      </c>
      <c r="AG14" s="33">
        <f>SUM(AG9:AG13)</f>
        <v/>
      </c>
      <c r="AH14" s="33">
        <f>SUM(AH9:AH13)</f>
        <v/>
      </c>
      <c r="AI14" s="33">
        <f>SUM(AI9:AI13)</f>
        <v/>
      </c>
      <c r="AJ14" s="33">
        <f>SUM(AJ9:AJ13)</f>
        <v/>
      </c>
      <c r="AK14" s="33">
        <f>SUM(AK9:AK13)</f>
        <v/>
      </c>
      <c r="AL14" s="33">
        <f>SUM(AL9:AL13)</f>
        <v/>
      </c>
      <c r="AM14" s="33">
        <f>SUM(AM9:AM13)</f>
        <v/>
      </c>
      <c r="AN14" s="33">
        <f>SUM(AN9:AN13)</f>
        <v/>
      </c>
      <c r="AO14" s="33">
        <f>SUM(AO9:AO13)</f>
        <v/>
      </c>
      <c r="AP14" s="33">
        <f>SUM(AP9:AP13)</f>
        <v/>
      </c>
      <c r="AQ14" s="33">
        <f>SUM(AQ9:AQ13)</f>
        <v/>
      </c>
      <c r="AR14" s="33">
        <f>SUM(AR9:AR13)</f>
        <v/>
      </c>
      <c r="AS14" s="33">
        <f>SUM(AS9:AS13)</f>
        <v/>
      </c>
      <c r="AT14" s="33">
        <f>SUM(AT9:AT13)</f>
        <v/>
      </c>
      <c r="AU14" s="33">
        <f>SUM(AU9:AU13)</f>
        <v/>
      </c>
      <c r="AV14" s="33">
        <f>SUM(AV9:AV13)</f>
        <v/>
      </c>
      <c r="AW14" s="33">
        <f>SUM(AW9:AW13)</f>
        <v/>
      </c>
      <c r="AX14" s="33">
        <f>SUM(AX9:AX13)</f>
        <v/>
      </c>
      <c r="AY14" s="33">
        <f>SUM(AY9:AY13)</f>
        <v/>
      </c>
      <c r="AZ14" s="33">
        <f>SUM(AZ9:AZ13)</f>
        <v/>
      </c>
      <c r="BA14" s="33">
        <f>SUM(BA9:BA13)</f>
        <v/>
      </c>
      <c r="BB14" s="33">
        <f>SUM(BB9:BB13)</f>
        <v/>
      </c>
      <c r="BC14" s="33">
        <f>SUM(BC9:BC13)</f>
        <v/>
      </c>
      <c r="BD14" s="33">
        <f>SUM(BD9:BD13)</f>
        <v/>
      </c>
      <c r="BE14" s="33">
        <f>SUM(BE9:BE13)</f>
        <v/>
      </c>
      <c r="BF14" s="33">
        <f>SUM(BF9:BF13)</f>
        <v/>
      </c>
      <c r="BG14" s="33">
        <f>SUM(BG9:BG13)</f>
        <v/>
      </c>
      <c r="BH14" s="33">
        <f>SUM(BH9:BH13)</f>
        <v/>
      </c>
      <c r="BI14" s="33">
        <f>SUM(BI9:BI13)</f>
        <v/>
      </c>
      <c r="BJ14" s="33">
        <f>SUM(BJ9:BJ13)</f>
        <v/>
      </c>
      <c r="BK14" s="33">
        <f>SUM(BK9:BK13)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</row>
    <row r="16">
      <c r="A16" s="12" t="inlineStr">
        <is>
          <t>2. Residential care</t>
        </is>
      </c>
      <c r="B16" s="13" t="n"/>
      <c r="C16" s="1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</row>
    <row r="17">
      <c r="A17" s="14" t="inlineStr">
        <is>
          <t>Residence, long-stay</t>
        </is>
      </c>
      <c r="B17" s="3" t="inlineStr"/>
      <c r="C17" s="2" t="n"/>
      <c r="D17" s="24">
        <f>('Volumes'!D16+'Volumes'!D19)*RES_FEE</f>
        <v/>
      </c>
      <c r="E17" s="24">
        <f>('Volumes'!E16+'Volumes'!E19)*RES_FEE</f>
        <v/>
      </c>
      <c r="F17" s="24">
        <f>('Volumes'!F16+'Volumes'!F19)*RES_FEE</f>
        <v/>
      </c>
      <c r="G17" s="24">
        <f>('Volumes'!G16+'Volumes'!G19)*RES_FEE</f>
        <v/>
      </c>
      <c r="H17" s="24">
        <f>('Volumes'!H16+'Volumes'!H19)*RES_FEE</f>
        <v/>
      </c>
      <c r="I17" s="24">
        <f>('Volumes'!I16+'Volumes'!I19)*RES_FEE</f>
        <v/>
      </c>
      <c r="J17" s="24">
        <f>('Volumes'!J16+'Volumes'!J19)*RES_FEE</f>
        <v/>
      </c>
      <c r="K17" s="24">
        <f>('Volumes'!K16+'Volumes'!K19)*RES_FEE</f>
        <v/>
      </c>
      <c r="L17" s="24">
        <f>('Volumes'!L16+'Volumes'!L19)*RES_FEE</f>
        <v/>
      </c>
      <c r="M17" s="24">
        <f>('Volumes'!M16+'Volumes'!M19)*RES_FEE</f>
        <v/>
      </c>
      <c r="N17" s="24">
        <f>('Volumes'!N16+'Volumes'!N19)*RES_FEE</f>
        <v/>
      </c>
      <c r="O17" s="24">
        <f>('Volumes'!O16+'Volumes'!O19)*RES_FEE</f>
        <v/>
      </c>
      <c r="P17" s="24">
        <f>('Volumes'!P16+'Volumes'!P19)*RES_FEE</f>
        <v/>
      </c>
      <c r="Q17" s="24">
        <f>('Volumes'!Q16+'Volumes'!Q19)*RES_FEE</f>
        <v/>
      </c>
      <c r="R17" s="24">
        <f>('Volumes'!R16+'Volumes'!R19)*RES_FEE</f>
        <v/>
      </c>
      <c r="S17" s="24">
        <f>('Volumes'!S16+'Volumes'!S19)*RES_FEE</f>
        <v/>
      </c>
      <c r="T17" s="24">
        <f>('Volumes'!T16+'Volumes'!T19)*RES_FEE</f>
        <v/>
      </c>
      <c r="U17" s="24">
        <f>('Volumes'!U16+'Volumes'!U19)*RES_FEE</f>
        <v/>
      </c>
      <c r="V17" s="24">
        <f>('Volumes'!V16+'Volumes'!V19)*RES_FEE</f>
        <v/>
      </c>
      <c r="W17" s="24">
        <f>('Volumes'!W16+'Volumes'!W19)*RES_FEE</f>
        <v/>
      </c>
      <c r="X17" s="24">
        <f>('Volumes'!X16+'Volumes'!X19)*RES_FEE</f>
        <v/>
      </c>
      <c r="Y17" s="24">
        <f>('Volumes'!Y16+'Volumes'!Y19)*RES_FEE</f>
        <v/>
      </c>
      <c r="Z17" s="24">
        <f>('Volumes'!Z16+'Volumes'!Z19)*RES_FEE</f>
        <v/>
      </c>
      <c r="AA17" s="24">
        <f>('Volumes'!AA16+'Volumes'!AA19)*RES_FEE</f>
        <v/>
      </c>
      <c r="AB17" s="24">
        <f>('Volumes'!AB16+'Volumes'!AB19)*RES_FEE</f>
        <v/>
      </c>
      <c r="AC17" s="24">
        <f>('Volumes'!AC16+'Volumes'!AC19)*RES_FEE</f>
        <v/>
      </c>
      <c r="AD17" s="24">
        <f>('Volumes'!AD16+'Volumes'!AD19)*RES_FEE</f>
        <v/>
      </c>
      <c r="AE17" s="24">
        <f>('Volumes'!AE16+'Volumes'!AE19)*RES_FEE</f>
        <v/>
      </c>
      <c r="AF17" s="24">
        <f>('Volumes'!AF16+'Volumes'!AF19)*RES_FEE</f>
        <v/>
      </c>
      <c r="AG17" s="24">
        <f>('Volumes'!AG16+'Volumes'!AG19)*RES_FEE</f>
        <v/>
      </c>
      <c r="AH17" s="24">
        <f>('Volumes'!AH16+'Volumes'!AH19)*RES_FEE</f>
        <v/>
      </c>
      <c r="AI17" s="24">
        <f>('Volumes'!AI16+'Volumes'!AI19)*RES_FEE</f>
        <v/>
      </c>
      <c r="AJ17" s="24">
        <f>('Volumes'!AJ16+'Volumes'!AJ19)*RES_FEE</f>
        <v/>
      </c>
      <c r="AK17" s="24">
        <f>('Volumes'!AK16+'Volumes'!AK19)*RES_FEE</f>
        <v/>
      </c>
      <c r="AL17" s="24">
        <f>('Volumes'!AL16+'Volumes'!AL19)*RES_FEE</f>
        <v/>
      </c>
      <c r="AM17" s="24">
        <f>('Volumes'!AM16+'Volumes'!AM19)*RES_FEE</f>
        <v/>
      </c>
      <c r="AN17" s="24">
        <f>('Volumes'!AN16+'Volumes'!AN19)*RES_FEE</f>
        <v/>
      </c>
      <c r="AO17" s="24">
        <f>('Volumes'!AO16+'Volumes'!AO19)*RES_FEE</f>
        <v/>
      </c>
      <c r="AP17" s="24">
        <f>('Volumes'!AP16+'Volumes'!AP19)*RES_FEE</f>
        <v/>
      </c>
      <c r="AQ17" s="24">
        <f>('Volumes'!AQ16+'Volumes'!AQ19)*RES_FEE</f>
        <v/>
      </c>
      <c r="AR17" s="24">
        <f>('Volumes'!AR16+'Volumes'!AR19)*RES_FEE</f>
        <v/>
      </c>
      <c r="AS17" s="24">
        <f>('Volumes'!AS16+'Volumes'!AS19)*RES_FEE</f>
        <v/>
      </c>
      <c r="AT17" s="24">
        <f>('Volumes'!AT16+'Volumes'!AT19)*RES_FEE</f>
        <v/>
      </c>
      <c r="AU17" s="24">
        <f>('Volumes'!AU16+'Volumes'!AU19)*RES_FEE</f>
        <v/>
      </c>
      <c r="AV17" s="24">
        <f>('Volumes'!AV16+'Volumes'!AV19)*RES_FEE</f>
        <v/>
      </c>
      <c r="AW17" s="24">
        <f>('Volumes'!AW16+'Volumes'!AW19)*RES_FEE</f>
        <v/>
      </c>
      <c r="AX17" s="24">
        <f>('Volumes'!AX16+'Volumes'!AX19)*RES_FEE</f>
        <v/>
      </c>
      <c r="AY17" s="24">
        <f>('Volumes'!AY16+'Volumes'!AY19)*RES_FEE</f>
        <v/>
      </c>
      <c r="AZ17" s="24">
        <f>('Volumes'!AZ16+'Volumes'!AZ19)*RES_FEE</f>
        <v/>
      </c>
      <c r="BA17" s="24">
        <f>('Volumes'!BA16+'Volumes'!BA19)*RES_FEE</f>
        <v/>
      </c>
      <c r="BB17" s="24">
        <f>('Volumes'!BB16+'Volumes'!BB19)*RES_FEE</f>
        <v/>
      </c>
      <c r="BC17" s="24">
        <f>('Volumes'!BC16+'Volumes'!BC19)*RES_FEE</f>
        <v/>
      </c>
      <c r="BD17" s="24">
        <f>('Volumes'!BD16+'Volumes'!BD19)*RES_FEE</f>
        <v/>
      </c>
      <c r="BE17" s="24">
        <f>('Volumes'!BE16+'Volumes'!BE19)*RES_FEE</f>
        <v/>
      </c>
      <c r="BF17" s="24">
        <f>('Volumes'!BF16+'Volumes'!BF19)*RES_FEE</f>
        <v/>
      </c>
      <c r="BG17" s="24">
        <f>('Volumes'!BG16+'Volumes'!BG19)*RES_FEE</f>
        <v/>
      </c>
      <c r="BH17" s="24">
        <f>('Volumes'!BH16+'Volumes'!BH19)*RES_FEE</f>
        <v/>
      </c>
      <c r="BI17" s="24">
        <f>('Volumes'!BI16+'Volumes'!BI19)*RES_FEE</f>
        <v/>
      </c>
      <c r="BJ17" s="24">
        <f>('Volumes'!BJ16+'Volumes'!BJ19)*RES_FEE</f>
        <v/>
      </c>
      <c r="BK17" s="24">
        <f>('Volumes'!BK16+'Volumes'!BK19)*RES_FEE</f>
        <v/>
      </c>
    </row>
    <row r="18">
      <c r="A18" s="14" t="inlineStr">
        <is>
          <t>Step-down beds</t>
        </is>
      </c>
      <c r="B18" s="3" t="inlineStr"/>
      <c r="C18" s="2" t="n"/>
      <c r="D18" s="24">
        <f>('Volumes'!D17+'Volumes'!D20)*DAYS_PM*STEP_DAY</f>
        <v/>
      </c>
      <c r="E18" s="24">
        <f>('Volumes'!E17+'Volumes'!E20)*DAYS_PM*STEP_DAY</f>
        <v/>
      </c>
      <c r="F18" s="24">
        <f>('Volumes'!F17+'Volumes'!F20)*DAYS_PM*STEP_DAY</f>
        <v/>
      </c>
      <c r="G18" s="24">
        <f>('Volumes'!G17+'Volumes'!G20)*DAYS_PM*STEP_DAY</f>
        <v/>
      </c>
      <c r="H18" s="24">
        <f>('Volumes'!H17+'Volumes'!H20)*DAYS_PM*STEP_DAY</f>
        <v/>
      </c>
      <c r="I18" s="24">
        <f>('Volumes'!I17+'Volumes'!I20)*DAYS_PM*STEP_DAY</f>
        <v/>
      </c>
      <c r="J18" s="24">
        <f>('Volumes'!J17+'Volumes'!J20)*DAYS_PM*STEP_DAY</f>
        <v/>
      </c>
      <c r="K18" s="24">
        <f>('Volumes'!K17+'Volumes'!K20)*DAYS_PM*STEP_DAY</f>
        <v/>
      </c>
      <c r="L18" s="24">
        <f>('Volumes'!L17+'Volumes'!L20)*DAYS_PM*STEP_DAY</f>
        <v/>
      </c>
      <c r="M18" s="24">
        <f>('Volumes'!M17+'Volumes'!M20)*DAYS_PM*STEP_DAY</f>
        <v/>
      </c>
      <c r="N18" s="24">
        <f>('Volumes'!N17+'Volumes'!N20)*DAYS_PM*STEP_DAY</f>
        <v/>
      </c>
      <c r="O18" s="24">
        <f>('Volumes'!O17+'Volumes'!O20)*DAYS_PM*STEP_DAY</f>
        <v/>
      </c>
      <c r="P18" s="24">
        <f>('Volumes'!P17+'Volumes'!P20)*DAYS_PM*STEP_DAY</f>
        <v/>
      </c>
      <c r="Q18" s="24">
        <f>('Volumes'!Q17+'Volumes'!Q20)*DAYS_PM*STEP_DAY</f>
        <v/>
      </c>
      <c r="R18" s="24">
        <f>('Volumes'!R17+'Volumes'!R20)*DAYS_PM*STEP_DAY</f>
        <v/>
      </c>
      <c r="S18" s="24">
        <f>('Volumes'!S17+'Volumes'!S20)*DAYS_PM*STEP_DAY</f>
        <v/>
      </c>
      <c r="T18" s="24">
        <f>('Volumes'!T17+'Volumes'!T20)*DAYS_PM*STEP_DAY</f>
        <v/>
      </c>
      <c r="U18" s="24">
        <f>('Volumes'!U17+'Volumes'!U20)*DAYS_PM*STEP_DAY</f>
        <v/>
      </c>
      <c r="V18" s="24">
        <f>('Volumes'!V17+'Volumes'!V20)*DAYS_PM*STEP_DAY</f>
        <v/>
      </c>
      <c r="W18" s="24">
        <f>('Volumes'!W17+'Volumes'!W20)*DAYS_PM*STEP_DAY</f>
        <v/>
      </c>
      <c r="X18" s="24">
        <f>('Volumes'!X17+'Volumes'!X20)*DAYS_PM*STEP_DAY</f>
        <v/>
      </c>
      <c r="Y18" s="24">
        <f>('Volumes'!Y17+'Volumes'!Y20)*DAYS_PM*STEP_DAY</f>
        <v/>
      </c>
      <c r="Z18" s="24">
        <f>('Volumes'!Z17+'Volumes'!Z20)*DAYS_PM*STEP_DAY</f>
        <v/>
      </c>
      <c r="AA18" s="24">
        <f>('Volumes'!AA17+'Volumes'!AA20)*DAYS_PM*STEP_DAY</f>
        <v/>
      </c>
      <c r="AB18" s="24">
        <f>('Volumes'!AB17+'Volumes'!AB20)*DAYS_PM*STEP_DAY</f>
        <v/>
      </c>
      <c r="AC18" s="24">
        <f>('Volumes'!AC17+'Volumes'!AC20)*DAYS_PM*STEP_DAY</f>
        <v/>
      </c>
      <c r="AD18" s="24">
        <f>('Volumes'!AD17+'Volumes'!AD20)*DAYS_PM*STEP_DAY</f>
        <v/>
      </c>
      <c r="AE18" s="24">
        <f>('Volumes'!AE17+'Volumes'!AE20)*DAYS_PM*STEP_DAY</f>
        <v/>
      </c>
      <c r="AF18" s="24">
        <f>('Volumes'!AF17+'Volumes'!AF20)*DAYS_PM*STEP_DAY</f>
        <v/>
      </c>
      <c r="AG18" s="24">
        <f>('Volumes'!AG17+'Volumes'!AG20)*DAYS_PM*STEP_DAY</f>
        <v/>
      </c>
      <c r="AH18" s="24">
        <f>('Volumes'!AH17+'Volumes'!AH20)*DAYS_PM*STEP_DAY</f>
        <v/>
      </c>
      <c r="AI18" s="24">
        <f>('Volumes'!AI17+'Volumes'!AI20)*DAYS_PM*STEP_DAY</f>
        <v/>
      </c>
      <c r="AJ18" s="24">
        <f>('Volumes'!AJ17+'Volumes'!AJ20)*DAYS_PM*STEP_DAY</f>
        <v/>
      </c>
      <c r="AK18" s="24">
        <f>('Volumes'!AK17+'Volumes'!AK20)*DAYS_PM*STEP_DAY</f>
        <v/>
      </c>
      <c r="AL18" s="24">
        <f>('Volumes'!AL17+'Volumes'!AL20)*DAYS_PM*STEP_DAY</f>
        <v/>
      </c>
      <c r="AM18" s="24">
        <f>('Volumes'!AM17+'Volumes'!AM20)*DAYS_PM*STEP_DAY</f>
        <v/>
      </c>
      <c r="AN18" s="24">
        <f>('Volumes'!AN17+'Volumes'!AN20)*DAYS_PM*STEP_DAY</f>
        <v/>
      </c>
      <c r="AO18" s="24">
        <f>('Volumes'!AO17+'Volumes'!AO20)*DAYS_PM*STEP_DAY</f>
        <v/>
      </c>
      <c r="AP18" s="24">
        <f>('Volumes'!AP17+'Volumes'!AP20)*DAYS_PM*STEP_DAY</f>
        <v/>
      </c>
      <c r="AQ18" s="24">
        <f>('Volumes'!AQ17+'Volumes'!AQ20)*DAYS_PM*STEP_DAY</f>
        <v/>
      </c>
      <c r="AR18" s="24">
        <f>('Volumes'!AR17+'Volumes'!AR20)*DAYS_PM*STEP_DAY</f>
        <v/>
      </c>
      <c r="AS18" s="24">
        <f>('Volumes'!AS17+'Volumes'!AS20)*DAYS_PM*STEP_DAY</f>
        <v/>
      </c>
      <c r="AT18" s="24">
        <f>('Volumes'!AT17+'Volumes'!AT20)*DAYS_PM*STEP_DAY</f>
        <v/>
      </c>
      <c r="AU18" s="24">
        <f>('Volumes'!AU17+'Volumes'!AU20)*DAYS_PM*STEP_DAY</f>
        <v/>
      </c>
      <c r="AV18" s="24">
        <f>('Volumes'!AV17+'Volumes'!AV20)*DAYS_PM*STEP_DAY</f>
        <v/>
      </c>
      <c r="AW18" s="24">
        <f>('Volumes'!AW17+'Volumes'!AW20)*DAYS_PM*STEP_DAY</f>
        <v/>
      </c>
      <c r="AX18" s="24">
        <f>('Volumes'!AX17+'Volumes'!AX20)*DAYS_PM*STEP_DAY</f>
        <v/>
      </c>
      <c r="AY18" s="24">
        <f>('Volumes'!AY17+'Volumes'!AY20)*DAYS_PM*STEP_DAY</f>
        <v/>
      </c>
      <c r="AZ18" s="24">
        <f>('Volumes'!AZ17+'Volumes'!AZ20)*DAYS_PM*STEP_DAY</f>
        <v/>
      </c>
      <c r="BA18" s="24">
        <f>('Volumes'!BA17+'Volumes'!BA20)*DAYS_PM*STEP_DAY</f>
        <v/>
      </c>
      <c r="BB18" s="24">
        <f>('Volumes'!BB17+'Volumes'!BB20)*DAYS_PM*STEP_DAY</f>
        <v/>
      </c>
      <c r="BC18" s="24">
        <f>('Volumes'!BC17+'Volumes'!BC20)*DAYS_PM*STEP_DAY</f>
        <v/>
      </c>
      <c r="BD18" s="24">
        <f>('Volumes'!BD17+'Volumes'!BD20)*DAYS_PM*STEP_DAY</f>
        <v/>
      </c>
      <c r="BE18" s="24">
        <f>('Volumes'!BE17+'Volumes'!BE20)*DAYS_PM*STEP_DAY</f>
        <v/>
      </c>
      <c r="BF18" s="24">
        <f>('Volumes'!BF17+'Volumes'!BF20)*DAYS_PM*STEP_DAY</f>
        <v/>
      </c>
      <c r="BG18" s="24">
        <f>('Volumes'!BG17+'Volumes'!BG20)*DAYS_PM*STEP_DAY</f>
        <v/>
      </c>
      <c r="BH18" s="24">
        <f>('Volumes'!BH17+'Volumes'!BH20)*DAYS_PM*STEP_DAY</f>
        <v/>
      </c>
      <c r="BI18" s="24">
        <f>('Volumes'!BI17+'Volumes'!BI20)*DAYS_PM*STEP_DAY</f>
        <v/>
      </c>
      <c r="BJ18" s="24">
        <f>('Volumes'!BJ17+'Volumes'!BJ20)*DAYS_PM*STEP_DAY</f>
        <v/>
      </c>
      <c r="BK18" s="24">
        <f>('Volumes'!BK17+'Volumes'!BK20)*DAYS_PM*STEP_DAY</f>
        <v/>
      </c>
    </row>
    <row r="19">
      <c r="A19" s="14" t="inlineStr">
        <is>
          <t>Palliative wing</t>
        </is>
      </c>
      <c r="B19" s="3" t="inlineStr"/>
      <c r="C19" s="2" t="n"/>
      <c r="D19" s="24">
        <f>('Volumes'!D18+'Volumes'!D21)*PALL_FEE</f>
        <v/>
      </c>
      <c r="E19" s="24">
        <f>('Volumes'!E18+'Volumes'!E21)*PALL_FEE</f>
        <v/>
      </c>
      <c r="F19" s="24">
        <f>('Volumes'!F18+'Volumes'!F21)*PALL_FEE</f>
        <v/>
      </c>
      <c r="G19" s="24">
        <f>('Volumes'!G18+'Volumes'!G21)*PALL_FEE</f>
        <v/>
      </c>
      <c r="H19" s="24">
        <f>('Volumes'!H18+'Volumes'!H21)*PALL_FEE</f>
        <v/>
      </c>
      <c r="I19" s="24">
        <f>('Volumes'!I18+'Volumes'!I21)*PALL_FEE</f>
        <v/>
      </c>
      <c r="J19" s="24">
        <f>('Volumes'!J18+'Volumes'!J21)*PALL_FEE</f>
        <v/>
      </c>
      <c r="K19" s="24">
        <f>('Volumes'!K18+'Volumes'!K21)*PALL_FEE</f>
        <v/>
      </c>
      <c r="L19" s="24">
        <f>('Volumes'!L18+'Volumes'!L21)*PALL_FEE</f>
        <v/>
      </c>
      <c r="M19" s="24">
        <f>('Volumes'!M18+'Volumes'!M21)*PALL_FEE</f>
        <v/>
      </c>
      <c r="N19" s="24">
        <f>('Volumes'!N18+'Volumes'!N21)*PALL_FEE</f>
        <v/>
      </c>
      <c r="O19" s="24">
        <f>('Volumes'!O18+'Volumes'!O21)*PALL_FEE</f>
        <v/>
      </c>
      <c r="P19" s="24">
        <f>('Volumes'!P18+'Volumes'!P21)*PALL_FEE</f>
        <v/>
      </c>
      <c r="Q19" s="24">
        <f>('Volumes'!Q18+'Volumes'!Q21)*PALL_FEE</f>
        <v/>
      </c>
      <c r="R19" s="24">
        <f>('Volumes'!R18+'Volumes'!R21)*PALL_FEE</f>
        <v/>
      </c>
      <c r="S19" s="24">
        <f>('Volumes'!S18+'Volumes'!S21)*PALL_FEE</f>
        <v/>
      </c>
      <c r="T19" s="24">
        <f>('Volumes'!T18+'Volumes'!T21)*PALL_FEE</f>
        <v/>
      </c>
      <c r="U19" s="24">
        <f>('Volumes'!U18+'Volumes'!U21)*PALL_FEE</f>
        <v/>
      </c>
      <c r="V19" s="24">
        <f>('Volumes'!V18+'Volumes'!V21)*PALL_FEE</f>
        <v/>
      </c>
      <c r="W19" s="24">
        <f>('Volumes'!W18+'Volumes'!W21)*PALL_FEE</f>
        <v/>
      </c>
      <c r="X19" s="24">
        <f>('Volumes'!X18+'Volumes'!X21)*PALL_FEE</f>
        <v/>
      </c>
      <c r="Y19" s="24">
        <f>('Volumes'!Y18+'Volumes'!Y21)*PALL_FEE</f>
        <v/>
      </c>
      <c r="Z19" s="24">
        <f>('Volumes'!Z18+'Volumes'!Z21)*PALL_FEE</f>
        <v/>
      </c>
      <c r="AA19" s="24">
        <f>('Volumes'!AA18+'Volumes'!AA21)*PALL_FEE</f>
        <v/>
      </c>
      <c r="AB19" s="24">
        <f>('Volumes'!AB18+'Volumes'!AB21)*PALL_FEE</f>
        <v/>
      </c>
      <c r="AC19" s="24">
        <f>('Volumes'!AC18+'Volumes'!AC21)*PALL_FEE</f>
        <v/>
      </c>
      <c r="AD19" s="24">
        <f>('Volumes'!AD18+'Volumes'!AD21)*PALL_FEE</f>
        <v/>
      </c>
      <c r="AE19" s="24">
        <f>('Volumes'!AE18+'Volumes'!AE21)*PALL_FEE</f>
        <v/>
      </c>
      <c r="AF19" s="24">
        <f>('Volumes'!AF18+'Volumes'!AF21)*PALL_FEE</f>
        <v/>
      </c>
      <c r="AG19" s="24">
        <f>('Volumes'!AG18+'Volumes'!AG21)*PALL_FEE</f>
        <v/>
      </c>
      <c r="AH19" s="24">
        <f>('Volumes'!AH18+'Volumes'!AH21)*PALL_FEE</f>
        <v/>
      </c>
      <c r="AI19" s="24">
        <f>('Volumes'!AI18+'Volumes'!AI21)*PALL_FEE</f>
        <v/>
      </c>
      <c r="AJ19" s="24">
        <f>('Volumes'!AJ18+'Volumes'!AJ21)*PALL_FEE</f>
        <v/>
      </c>
      <c r="AK19" s="24">
        <f>('Volumes'!AK18+'Volumes'!AK21)*PALL_FEE</f>
        <v/>
      </c>
      <c r="AL19" s="24">
        <f>('Volumes'!AL18+'Volumes'!AL21)*PALL_FEE</f>
        <v/>
      </c>
      <c r="AM19" s="24">
        <f>('Volumes'!AM18+'Volumes'!AM21)*PALL_FEE</f>
        <v/>
      </c>
      <c r="AN19" s="24">
        <f>('Volumes'!AN18+'Volumes'!AN21)*PALL_FEE</f>
        <v/>
      </c>
      <c r="AO19" s="24">
        <f>('Volumes'!AO18+'Volumes'!AO21)*PALL_FEE</f>
        <v/>
      </c>
      <c r="AP19" s="24">
        <f>('Volumes'!AP18+'Volumes'!AP21)*PALL_FEE</f>
        <v/>
      </c>
      <c r="AQ19" s="24">
        <f>('Volumes'!AQ18+'Volumes'!AQ21)*PALL_FEE</f>
        <v/>
      </c>
      <c r="AR19" s="24">
        <f>('Volumes'!AR18+'Volumes'!AR21)*PALL_FEE</f>
        <v/>
      </c>
      <c r="AS19" s="24">
        <f>('Volumes'!AS18+'Volumes'!AS21)*PALL_FEE</f>
        <v/>
      </c>
      <c r="AT19" s="24">
        <f>('Volumes'!AT18+'Volumes'!AT21)*PALL_FEE</f>
        <v/>
      </c>
      <c r="AU19" s="24">
        <f>('Volumes'!AU18+'Volumes'!AU21)*PALL_FEE</f>
        <v/>
      </c>
      <c r="AV19" s="24">
        <f>('Volumes'!AV18+'Volumes'!AV21)*PALL_FEE</f>
        <v/>
      </c>
      <c r="AW19" s="24">
        <f>('Volumes'!AW18+'Volumes'!AW21)*PALL_FEE</f>
        <v/>
      </c>
      <c r="AX19" s="24">
        <f>('Volumes'!AX18+'Volumes'!AX21)*PALL_FEE</f>
        <v/>
      </c>
      <c r="AY19" s="24">
        <f>('Volumes'!AY18+'Volumes'!AY21)*PALL_FEE</f>
        <v/>
      </c>
      <c r="AZ19" s="24">
        <f>('Volumes'!AZ18+'Volumes'!AZ21)*PALL_FEE</f>
        <v/>
      </c>
      <c r="BA19" s="24">
        <f>('Volumes'!BA18+'Volumes'!BA21)*PALL_FEE</f>
        <v/>
      </c>
      <c r="BB19" s="24">
        <f>('Volumes'!BB18+'Volumes'!BB21)*PALL_FEE</f>
        <v/>
      </c>
      <c r="BC19" s="24">
        <f>('Volumes'!BC18+'Volumes'!BC21)*PALL_FEE</f>
        <v/>
      </c>
      <c r="BD19" s="24">
        <f>('Volumes'!BD18+'Volumes'!BD21)*PALL_FEE</f>
        <v/>
      </c>
      <c r="BE19" s="24">
        <f>('Volumes'!BE18+'Volumes'!BE21)*PALL_FEE</f>
        <v/>
      </c>
      <c r="BF19" s="24">
        <f>('Volumes'!BF18+'Volumes'!BF21)*PALL_FEE</f>
        <v/>
      </c>
      <c r="BG19" s="24">
        <f>('Volumes'!BG18+'Volumes'!BG21)*PALL_FEE</f>
        <v/>
      </c>
      <c r="BH19" s="24">
        <f>('Volumes'!BH18+'Volumes'!BH21)*PALL_FEE</f>
        <v/>
      </c>
      <c r="BI19" s="24">
        <f>('Volumes'!BI18+'Volumes'!BI21)*PALL_FEE</f>
        <v/>
      </c>
      <c r="BJ19" s="24">
        <f>('Volumes'!BJ18+'Volumes'!BJ21)*PALL_FEE</f>
        <v/>
      </c>
      <c r="BK19" s="24">
        <f>('Volumes'!BK18+'Volumes'!BK21)*PALL_FEE</f>
        <v/>
      </c>
    </row>
    <row r="20">
      <c r="A20" s="30" t="inlineStr">
        <is>
          <t>Residential care</t>
        </is>
      </c>
      <c r="B20" s="3" t="inlineStr"/>
      <c r="C20" s="2" t="n"/>
      <c r="D20" s="33">
        <f>SUM(D17:D19)</f>
        <v/>
      </c>
      <c r="E20" s="33">
        <f>SUM(E17:E19)</f>
        <v/>
      </c>
      <c r="F20" s="33">
        <f>SUM(F17:F19)</f>
        <v/>
      </c>
      <c r="G20" s="33">
        <f>SUM(G17:G19)</f>
        <v/>
      </c>
      <c r="H20" s="33">
        <f>SUM(H17:H19)</f>
        <v/>
      </c>
      <c r="I20" s="33">
        <f>SUM(I17:I19)</f>
        <v/>
      </c>
      <c r="J20" s="33">
        <f>SUM(J17:J19)</f>
        <v/>
      </c>
      <c r="K20" s="33">
        <f>SUM(K17:K19)</f>
        <v/>
      </c>
      <c r="L20" s="33">
        <f>SUM(L17:L19)</f>
        <v/>
      </c>
      <c r="M20" s="33">
        <f>SUM(M17:M19)</f>
        <v/>
      </c>
      <c r="N20" s="33">
        <f>SUM(N17:N19)</f>
        <v/>
      </c>
      <c r="O20" s="33">
        <f>SUM(O17:O19)</f>
        <v/>
      </c>
      <c r="P20" s="33">
        <f>SUM(P17:P19)</f>
        <v/>
      </c>
      <c r="Q20" s="33">
        <f>SUM(Q17:Q19)</f>
        <v/>
      </c>
      <c r="R20" s="33">
        <f>SUM(R17:R19)</f>
        <v/>
      </c>
      <c r="S20" s="33">
        <f>SUM(S17:S19)</f>
        <v/>
      </c>
      <c r="T20" s="33">
        <f>SUM(T17:T19)</f>
        <v/>
      </c>
      <c r="U20" s="33">
        <f>SUM(U17:U19)</f>
        <v/>
      </c>
      <c r="V20" s="33">
        <f>SUM(V17:V19)</f>
        <v/>
      </c>
      <c r="W20" s="33">
        <f>SUM(W17:W19)</f>
        <v/>
      </c>
      <c r="X20" s="33">
        <f>SUM(X17:X19)</f>
        <v/>
      </c>
      <c r="Y20" s="33">
        <f>SUM(Y17:Y19)</f>
        <v/>
      </c>
      <c r="Z20" s="33">
        <f>SUM(Z17:Z19)</f>
        <v/>
      </c>
      <c r="AA20" s="33">
        <f>SUM(AA17:AA19)</f>
        <v/>
      </c>
      <c r="AB20" s="33">
        <f>SUM(AB17:AB19)</f>
        <v/>
      </c>
      <c r="AC20" s="33">
        <f>SUM(AC17:AC19)</f>
        <v/>
      </c>
      <c r="AD20" s="33">
        <f>SUM(AD17:AD19)</f>
        <v/>
      </c>
      <c r="AE20" s="33">
        <f>SUM(AE17:AE19)</f>
        <v/>
      </c>
      <c r="AF20" s="33">
        <f>SUM(AF17:AF19)</f>
        <v/>
      </c>
      <c r="AG20" s="33">
        <f>SUM(AG17:AG19)</f>
        <v/>
      </c>
      <c r="AH20" s="33">
        <f>SUM(AH17:AH19)</f>
        <v/>
      </c>
      <c r="AI20" s="33">
        <f>SUM(AI17:AI19)</f>
        <v/>
      </c>
      <c r="AJ20" s="33">
        <f>SUM(AJ17:AJ19)</f>
        <v/>
      </c>
      <c r="AK20" s="33">
        <f>SUM(AK17:AK19)</f>
        <v/>
      </c>
      <c r="AL20" s="33">
        <f>SUM(AL17:AL19)</f>
        <v/>
      </c>
      <c r="AM20" s="33">
        <f>SUM(AM17:AM19)</f>
        <v/>
      </c>
      <c r="AN20" s="33">
        <f>SUM(AN17:AN19)</f>
        <v/>
      </c>
      <c r="AO20" s="33">
        <f>SUM(AO17:AO19)</f>
        <v/>
      </c>
      <c r="AP20" s="33">
        <f>SUM(AP17:AP19)</f>
        <v/>
      </c>
      <c r="AQ20" s="33">
        <f>SUM(AQ17:AQ19)</f>
        <v/>
      </c>
      <c r="AR20" s="33">
        <f>SUM(AR17:AR19)</f>
        <v/>
      </c>
      <c r="AS20" s="33">
        <f>SUM(AS17:AS19)</f>
        <v/>
      </c>
      <c r="AT20" s="33">
        <f>SUM(AT17:AT19)</f>
        <v/>
      </c>
      <c r="AU20" s="33">
        <f>SUM(AU17:AU19)</f>
        <v/>
      </c>
      <c r="AV20" s="33">
        <f>SUM(AV17:AV19)</f>
        <v/>
      </c>
      <c r="AW20" s="33">
        <f>SUM(AW17:AW19)</f>
        <v/>
      </c>
      <c r="AX20" s="33">
        <f>SUM(AX17:AX19)</f>
        <v/>
      </c>
      <c r="AY20" s="33">
        <f>SUM(AY17:AY19)</f>
        <v/>
      </c>
      <c r="AZ20" s="33">
        <f>SUM(AZ17:AZ19)</f>
        <v/>
      </c>
      <c r="BA20" s="33">
        <f>SUM(BA17:BA19)</f>
        <v/>
      </c>
      <c r="BB20" s="33">
        <f>SUM(BB17:BB19)</f>
        <v/>
      </c>
      <c r="BC20" s="33">
        <f>SUM(BC17:BC19)</f>
        <v/>
      </c>
      <c r="BD20" s="33">
        <f>SUM(BD17:BD19)</f>
        <v/>
      </c>
      <c r="BE20" s="33">
        <f>SUM(BE17:BE19)</f>
        <v/>
      </c>
      <c r="BF20" s="33">
        <f>SUM(BF17:BF19)</f>
        <v/>
      </c>
      <c r="BG20" s="33">
        <f>SUM(BG17:BG19)</f>
        <v/>
      </c>
      <c r="BH20" s="33">
        <f>SUM(BH17:BH19)</f>
        <v/>
      </c>
      <c r="BI20" s="33">
        <f>SUM(BI17:BI19)</f>
        <v/>
      </c>
      <c r="BJ20" s="33">
        <f>SUM(BJ17:BJ19)</f>
        <v/>
      </c>
      <c r="BK20" s="33">
        <f>SUM(BK17:BK19)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</row>
    <row r="22">
      <c r="A22" s="12" t="inlineStr">
        <is>
          <t>3. Mortuary and pathology</t>
        </is>
      </c>
      <c r="B22" s="13" t="n"/>
      <c r="C22" s="1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</row>
    <row r="23">
      <c r="A23" s="14" t="inlineStr">
        <is>
          <t>Mortuary preservation</t>
        </is>
      </c>
      <c r="B23" s="3" t="inlineStr"/>
      <c r="C23" s="2" t="n"/>
      <c r="D23" s="24">
        <f>'Volumes'!D26*DAYS_PM*MORT_DAY</f>
        <v/>
      </c>
      <c r="E23" s="24">
        <f>'Volumes'!E26*DAYS_PM*MORT_DAY</f>
        <v/>
      </c>
      <c r="F23" s="24">
        <f>'Volumes'!F26*DAYS_PM*MORT_DAY</f>
        <v/>
      </c>
      <c r="G23" s="24">
        <f>'Volumes'!G26*DAYS_PM*MORT_DAY</f>
        <v/>
      </c>
      <c r="H23" s="24">
        <f>'Volumes'!H26*DAYS_PM*MORT_DAY</f>
        <v/>
      </c>
      <c r="I23" s="24">
        <f>'Volumes'!I26*DAYS_PM*MORT_DAY</f>
        <v/>
      </c>
      <c r="J23" s="24">
        <f>'Volumes'!J26*DAYS_PM*MORT_DAY</f>
        <v/>
      </c>
      <c r="K23" s="24">
        <f>'Volumes'!K26*DAYS_PM*MORT_DAY</f>
        <v/>
      </c>
      <c r="L23" s="24">
        <f>'Volumes'!L26*DAYS_PM*MORT_DAY</f>
        <v/>
      </c>
      <c r="M23" s="24">
        <f>'Volumes'!M26*DAYS_PM*MORT_DAY</f>
        <v/>
      </c>
      <c r="N23" s="24">
        <f>'Volumes'!N26*DAYS_PM*MORT_DAY</f>
        <v/>
      </c>
      <c r="O23" s="24">
        <f>'Volumes'!O26*DAYS_PM*MORT_DAY</f>
        <v/>
      </c>
      <c r="P23" s="24">
        <f>'Volumes'!P26*DAYS_PM*MORT_DAY</f>
        <v/>
      </c>
      <c r="Q23" s="24">
        <f>'Volumes'!Q26*DAYS_PM*MORT_DAY</f>
        <v/>
      </c>
      <c r="R23" s="24">
        <f>'Volumes'!R26*DAYS_PM*MORT_DAY</f>
        <v/>
      </c>
      <c r="S23" s="24">
        <f>'Volumes'!S26*DAYS_PM*MORT_DAY</f>
        <v/>
      </c>
      <c r="T23" s="24">
        <f>'Volumes'!T26*DAYS_PM*MORT_DAY</f>
        <v/>
      </c>
      <c r="U23" s="24">
        <f>'Volumes'!U26*DAYS_PM*MORT_DAY</f>
        <v/>
      </c>
      <c r="V23" s="24">
        <f>'Volumes'!V26*DAYS_PM*MORT_DAY</f>
        <v/>
      </c>
      <c r="W23" s="24">
        <f>'Volumes'!W26*DAYS_PM*MORT_DAY</f>
        <v/>
      </c>
      <c r="X23" s="24">
        <f>'Volumes'!X26*DAYS_PM*MORT_DAY</f>
        <v/>
      </c>
      <c r="Y23" s="24">
        <f>'Volumes'!Y26*DAYS_PM*MORT_DAY</f>
        <v/>
      </c>
      <c r="Z23" s="24">
        <f>'Volumes'!Z26*DAYS_PM*MORT_DAY</f>
        <v/>
      </c>
      <c r="AA23" s="24">
        <f>'Volumes'!AA26*DAYS_PM*MORT_DAY</f>
        <v/>
      </c>
      <c r="AB23" s="24">
        <f>'Volumes'!AB26*DAYS_PM*MORT_DAY</f>
        <v/>
      </c>
      <c r="AC23" s="24">
        <f>'Volumes'!AC26*DAYS_PM*MORT_DAY</f>
        <v/>
      </c>
      <c r="AD23" s="24">
        <f>'Volumes'!AD26*DAYS_PM*MORT_DAY</f>
        <v/>
      </c>
      <c r="AE23" s="24">
        <f>'Volumes'!AE26*DAYS_PM*MORT_DAY</f>
        <v/>
      </c>
      <c r="AF23" s="24">
        <f>'Volumes'!AF26*DAYS_PM*MORT_DAY</f>
        <v/>
      </c>
      <c r="AG23" s="24">
        <f>'Volumes'!AG26*DAYS_PM*MORT_DAY</f>
        <v/>
      </c>
      <c r="AH23" s="24">
        <f>'Volumes'!AH26*DAYS_PM*MORT_DAY</f>
        <v/>
      </c>
      <c r="AI23" s="24">
        <f>'Volumes'!AI26*DAYS_PM*MORT_DAY</f>
        <v/>
      </c>
      <c r="AJ23" s="24">
        <f>'Volumes'!AJ26*DAYS_PM*MORT_DAY</f>
        <v/>
      </c>
      <c r="AK23" s="24">
        <f>'Volumes'!AK26*DAYS_PM*MORT_DAY</f>
        <v/>
      </c>
      <c r="AL23" s="24">
        <f>'Volumes'!AL26*DAYS_PM*MORT_DAY</f>
        <v/>
      </c>
      <c r="AM23" s="24">
        <f>'Volumes'!AM26*DAYS_PM*MORT_DAY</f>
        <v/>
      </c>
      <c r="AN23" s="24">
        <f>'Volumes'!AN26*DAYS_PM*MORT_DAY</f>
        <v/>
      </c>
      <c r="AO23" s="24">
        <f>'Volumes'!AO26*DAYS_PM*MORT_DAY</f>
        <v/>
      </c>
      <c r="AP23" s="24">
        <f>'Volumes'!AP26*DAYS_PM*MORT_DAY</f>
        <v/>
      </c>
      <c r="AQ23" s="24">
        <f>'Volumes'!AQ26*DAYS_PM*MORT_DAY</f>
        <v/>
      </c>
      <c r="AR23" s="24">
        <f>'Volumes'!AR26*DAYS_PM*MORT_DAY</f>
        <v/>
      </c>
      <c r="AS23" s="24">
        <f>'Volumes'!AS26*DAYS_PM*MORT_DAY</f>
        <v/>
      </c>
      <c r="AT23" s="24">
        <f>'Volumes'!AT26*DAYS_PM*MORT_DAY</f>
        <v/>
      </c>
      <c r="AU23" s="24">
        <f>'Volumes'!AU26*DAYS_PM*MORT_DAY</f>
        <v/>
      </c>
      <c r="AV23" s="24">
        <f>'Volumes'!AV26*DAYS_PM*MORT_DAY</f>
        <v/>
      </c>
      <c r="AW23" s="24">
        <f>'Volumes'!AW26*DAYS_PM*MORT_DAY</f>
        <v/>
      </c>
      <c r="AX23" s="24">
        <f>'Volumes'!AX26*DAYS_PM*MORT_DAY</f>
        <v/>
      </c>
      <c r="AY23" s="24">
        <f>'Volumes'!AY26*DAYS_PM*MORT_DAY</f>
        <v/>
      </c>
      <c r="AZ23" s="24">
        <f>'Volumes'!AZ26*DAYS_PM*MORT_DAY</f>
        <v/>
      </c>
      <c r="BA23" s="24">
        <f>'Volumes'!BA26*DAYS_PM*MORT_DAY</f>
        <v/>
      </c>
      <c r="BB23" s="24">
        <f>'Volumes'!BB26*DAYS_PM*MORT_DAY</f>
        <v/>
      </c>
      <c r="BC23" s="24">
        <f>'Volumes'!BC26*DAYS_PM*MORT_DAY</f>
        <v/>
      </c>
      <c r="BD23" s="24">
        <f>'Volumes'!BD26*DAYS_PM*MORT_DAY</f>
        <v/>
      </c>
      <c r="BE23" s="24">
        <f>'Volumes'!BE26*DAYS_PM*MORT_DAY</f>
        <v/>
      </c>
      <c r="BF23" s="24">
        <f>'Volumes'!BF26*DAYS_PM*MORT_DAY</f>
        <v/>
      </c>
      <c r="BG23" s="24">
        <f>'Volumes'!BG26*DAYS_PM*MORT_DAY</f>
        <v/>
      </c>
      <c r="BH23" s="24">
        <f>'Volumes'!BH26*DAYS_PM*MORT_DAY</f>
        <v/>
      </c>
      <c r="BI23" s="24">
        <f>'Volumes'!BI26*DAYS_PM*MORT_DAY</f>
        <v/>
      </c>
      <c r="BJ23" s="24">
        <f>'Volumes'!BJ26*DAYS_PM*MORT_DAY</f>
        <v/>
      </c>
      <c r="BK23" s="24">
        <f>'Volumes'!BK26*DAYS_PM*MORT_DAY</f>
        <v/>
      </c>
    </row>
    <row r="24">
      <c r="A24" s="14" t="inlineStr">
        <is>
          <t>Preparation and repatriation</t>
        </is>
      </c>
      <c r="B24" s="3" t="inlineStr"/>
      <c r="C24" s="2" t="n"/>
      <c r="D24" s="24">
        <f>'Volumes'!D27*MORT_CASE+'Volumes'!D28*REPAT_FEE</f>
        <v/>
      </c>
      <c r="E24" s="24">
        <f>'Volumes'!E27*MORT_CASE+'Volumes'!E28*REPAT_FEE</f>
        <v/>
      </c>
      <c r="F24" s="24">
        <f>'Volumes'!F27*MORT_CASE+'Volumes'!F28*REPAT_FEE</f>
        <v/>
      </c>
      <c r="G24" s="24">
        <f>'Volumes'!G27*MORT_CASE+'Volumes'!G28*REPAT_FEE</f>
        <v/>
      </c>
      <c r="H24" s="24">
        <f>'Volumes'!H27*MORT_CASE+'Volumes'!H28*REPAT_FEE</f>
        <v/>
      </c>
      <c r="I24" s="24">
        <f>'Volumes'!I27*MORT_CASE+'Volumes'!I28*REPAT_FEE</f>
        <v/>
      </c>
      <c r="J24" s="24">
        <f>'Volumes'!J27*MORT_CASE+'Volumes'!J28*REPAT_FEE</f>
        <v/>
      </c>
      <c r="K24" s="24">
        <f>'Volumes'!K27*MORT_CASE+'Volumes'!K28*REPAT_FEE</f>
        <v/>
      </c>
      <c r="L24" s="24">
        <f>'Volumes'!L27*MORT_CASE+'Volumes'!L28*REPAT_FEE</f>
        <v/>
      </c>
      <c r="M24" s="24">
        <f>'Volumes'!M27*MORT_CASE+'Volumes'!M28*REPAT_FEE</f>
        <v/>
      </c>
      <c r="N24" s="24">
        <f>'Volumes'!N27*MORT_CASE+'Volumes'!N28*REPAT_FEE</f>
        <v/>
      </c>
      <c r="O24" s="24">
        <f>'Volumes'!O27*MORT_CASE+'Volumes'!O28*REPAT_FEE</f>
        <v/>
      </c>
      <c r="P24" s="24">
        <f>'Volumes'!P27*MORT_CASE+'Volumes'!P28*REPAT_FEE</f>
        <v/>
      </c>
      <c r="Q24" s="24">
        <f>'Volumes'!Q27*MORT_CASE+'Volumes'!Q28*REPAT_FEE</f>
        <v/>
      </c>
      <c r="R24" s="24">
        <f>'Volumes'!R27*MORT_CASE+'Volumes'!R28*REPAT_FEE</f>
        <v/>
      </c>
      <c r="S24" s="24">
        <f>'Volumes'!S27*MORT_CASE+'Volumes'!S28*REPAT_FEE</f>
        <v/>
      </c>
      <c r="T24" s="24">
        <f>'Volumes'!T27*MORT_CASE+'Volumes'!T28*REPAT_FEE</f>
        <v/>
      </c>
      <c r="U24" s="24">
        <f>'Volumes'!U27*MORT_CASE+'Volumes'!U28*REPAT_FEE</f>
        <v/>
      </c>
      <c r="V24" s="24">
        <f>'Volumes'!V27*MORT_CASE+'Volumes'!V28*REPAT_FEE</f>
        <v/>
      </c>
      <c r="W24" s="24">
        <f>'Volumes'!W27*MORT_CASE+'Volumes'!W28*REPAT_FEE</f>
        <v/>
      </c>
      <c r="X24" s="24">
        <f>'Volumes'!X27*MORT_CASE+'Volumes'!X28*REPAT_FEE</f>
        <v/>
      </c>
      <c r="Y24" s="24">
        <f>'Volumes'!Y27*MORT_CASE+'Volumes'!Y28*REPAT_FEE</f>
        <v/>
      </c>
      <c r="Z24" s="24">
        <f>'Volumes'!Z27*MORT_CASE+'Volumes'!Z28*REPAT_FEE</f>
        <v/>
      </c>
      <c r="AA24" s="24">
        <f>'Volumes'!AA27*MORT_CASE+'Volumes'!AA28*REPAT_FEE</f>
        <v/>
      </c>
      <c r="AB24" s="24">
        <f>'Volumes'!AB27*MORT_CASE+'Volumes'!AB28*REPAT_FEE</f>
        <v/>
      </c>
      <c r="AC24" s="24">
        <f>'Volumes'!AC27*MORT_CASE+'Volumes'!AC28*REPAT_FEE</f>
        <v/>
      </c>
      <c r="AD24" s="24">
        <f>'Volumes'!AD27*MORT_CASE+'Volumes'!AD28*REPAT_FEE</f>
        <v/>
      </c>
      <c r="AE24" s="24">
        <f>'Volumes'!AE27*MORT_CASE+'Volumes'!AE28*REPAT_FEE</f>
        <v/>
      </c>
      <c r="AF24" s="24">
        <f>'Volumes'!AF27*MORT_CASE+'Volumes'!AF28*REPAT_FEE</f>
        <v/>
      </c>
      <c r="AG24" s="24">
        <f>'Volumes'!AG27*MORT_CASE+'Volumes'!AG28*REPAT_FEE</f>
        <v/>
      </c>
      <c r="AH24" s="24">
        <f>'Volumes'!AH27*MORT_CASE+'Volumes'!AH28*REPAT_FEE</f>
        <v/>
      </c>
      <c r="AI24" s="24">
        <f>'Volumes'!AI27*MORT_CASE+'Volumes'!AI28*REPAT_FEE</f>
        <v/>
      </c>
      <c r="AJ24" s="24">
        <f>'Volumes'!AJ27*MORT_CASE+'Volumes'!AJ28*REPAT_FEE</f>
        <v/>
      </c>
      <c r="AK24" s="24">
        <f>'Volumes'!AK27*MORT_CASE+'Volumes'!AK28*REPAT_FEE</f>
        <v/>
      </c>
      <c r="AL24" s="24">
        <f>'Volumes'!AL27*MORT_CASE+'Volumes'!AL28*REPAT_FEE</f>
        <v/>
      </c>
      <c r="AM24" s="24">
        <f>'Volumes'!AM27*MORT_CASE+'Volumes'!AM28*REPAT_FEE</f>
        <v/>
      </c>
      <c r="AN24" s="24">
        <f>'Volumes'!AN27*MORT_CASE+'Volumes'!AN28*REPAT_FEE</f>
        <v/>
      </c>
      <c r="AO24" s="24">
        <f>'Volumes'!AO27*MORT_CASE+'Volumes'!AO28*REPAT_FEE</f>
        <v/>
      </c>
      <c r="AP24" s="24">
        <f>'Volumes'!AP27*MORT_CASE+'Volumes'!AP28*REPAT_FEE</f>
        <v/>
      </c>
      <c r="AQ24" s="24">
        <f>'Volumes'!AQ27*MORT_CASE+'Volumes'!AQ28*REPAT_FEE</f>
        <v/>
      </c>
      <c r="AR24" s="24">
        <f>'Volumes'!AR27*MORT_CASE+'Volumes'!AR28*REPAT_FEE</f>
        <v/>
      </c>
      <c r="AS24" s="24">
        <f>'Volumes'!AS27*MORT_CASE+'Volumes'!AS28*REPAT_FEE</f>
        <v/>
      </c>
      <c r="AT24" s="24">
        <f>'Volumes'!AT27*MORT_CASE+'Volumes'!AT28*REPAT_FEE</f>
        <v/>
      </c>
      <c r="AU24" s="24">
        <f>'Volumes'!AU27*MORT_CASE+'Volumes'!AU28*REPAT_FEE</f>
        <v/>
      </c>
      <c r="AV24" s="24">
        <f>'Volumes'!AV27*MORT_CASE+'Volumes'!AV28*REPAT_FEE</f>
        <v/>
      </c>
      <c r="AW24" s="24">
        <f>'Volumes'!AW27*MORT_CASE+'Volumes'!AW28*REPAT_FEE</f>
        <v/>
      </c>
      <c r="AX24" s="24">
        <f>'Volumes'!AX27*MORT_CASE+'Volumes'!AX28*REPAT_FEE</f>
        <v/>
      </c>
      <c r="AY24" s="24">
        <f>'Volumes'!AY27*MORT_CASE+'Volumes'!AY28*REPAT_FEE</f>
        <v/>
      </c>
      <c r="AZ24" s="24">
        <f>'Volumes'!AZ27*MORT_CASE+'Volumes'!AZ28*REPAT_FEE</f>
        <v/>
      </c>
      <c r="BA24" s="24">
        <f>'Volumes'!BA27*MORT_CASE+'Volumes'!BA28*REPAT_FEE</f>
        <v/>
      </c>
      <c r="BB24" s="24">
        <f>'Volumes'!BB27*MORT_CASE+'Volumes'!BB28*REPAT_FEE</f>
        <v/>
      </c>
      <c r="BC24" s="24">
        <f>'Volumes'!BC27*MORT_CASE+'Volumes'!BC28*REPAT_FEE</f>
        <v/>
      </c>
      <c r="BD24" s="24">
        <f>'Volumes'!BD27*MORT_CASE+'Volumes'!BD28*REPAT_FEE</f>
        <v/>
      </c>
      <c r="BE24" s="24">
        <f>'Volumes'!BE27*MORT_CASE+'Volumes'!BE28*REPAT_FEE</f>
        <v/>
      </c>
      <c r="BF24" s="24">
        <f>'Volumes'!BF27*MORT_CASE+'Volumes'!BF28*REPAT_FEE</f>
        <v/>
      </c>
      <c r="BG24" s="24">
        <f>'Volumes'!BG27*MORT_CASE+'Volumes'!BG28*REPAT_FEE</f>
        <v/>
      </c>
      <c r="BH24" s="24">
        <f>'Volumes'!BH27*MORT_CASE+'Volumes'!BH28*REPAT_FEE</f>
        <v/>
      </c>
      <c r="BI24" s="24">
        <f>'Volumes'!BI27*MORT_CASE+'Volumes'!BI28*REPAT_FEE</f>
        <v/>
      </c>
      <c r="BJ24" s="24">
        <f>'Volumes'!BJ27*MORT_CASE+'Volumes'!BJ28*REPAT_FEE</f>
        <v/>
      </c>
      <c r="BK24" s="24">
        <f>'Volumes'!BK27*MORT_CASE+'Volumes'!BK28*REPAT_FEE</f>
        <v/>
      </c>
    </row>
    <row r="25">
      <c r="A25" s="14" t="inlineStr">
        <is>
          <t>Autopsy and pathology</t>
        </is>
      </c>
      <c r="B25" s="3" t="inlineStr"/>
      <c r="C25" s="2" t="n"/>
      <c r="D25" s="24">
        <f>'Volumes'!D29*AUT_FEE</f>
        <v/>
      </c>
      <c r="E25" s="24">
        <f>'Volumes'!E29*AUT_FEE</f>
        <v/>
      </c>
      <c r="F25" s="24">
        <f>'Volumes'!F29*AUT_FEE</f>
        <v/>
      </c>
      <c r="G25" s="24">
        <f>'Volumes'!G29*AUT_FEE</f>
        <v/>
      </c>
      <c r="H25" s="24">
        <f>'Volumes'!H29*AUT_FEE</f>
        <v/>
      </c>
      <c r="I25" s="24">
        <f>'Volumes'!I29*AUT_FEE</f>
        <v/>
      </c>
      <c r="J25" s="24">
        <f>'Volumes'!J29*AUT_FEE</f>
        <v/>
      </c>
      <c r="K25" s="24">
        <f>'Volumes'!K29*AUT_FEE</f>
        <v/>
      </c>
      <c r="L25" s="24">
        <f>'Volumes'!L29*AUT_FEE</f>
        <v/>
      </c>
      <c r="M25" s="24">
        <f>'Volumes'!M29*AUT_FEE</f>
        <v/>
      </c>
      <c r="N25" s="24">
        <f>'Volumes'!N29*AUT_FEE</f>
        <v/>
      </c>
      <c r="O25" s="24">
        <f>'Volumes'!O29*AUT_FEE</f>
        <v/>
      </c>
      <c r="P25" s="24">
        <f>'Volumes'!P29*AUT_FEE</f>
        <v/>
      </c>
      <c r="Q25" s="24">
        <f>'Volumes'!Q29*AUT_FEE</f>
        <v/>
      </c>
      <c r="R25" s="24">
        <f>'Volumes'!R29*AUT_FEE</f>
        <v/>
      </c>
      <c r="S25" s="24">
        <f>'Volumes'!S29*AUT_FEE</f>
        <v/>
      </c>
      <c r="T25" s="24">
        <f>'Volumes'!T29*AUT_FEE</f>
        <v/>
      </c>
      <c r="U25" s="24">
        <f>'Volumes'!U29*AUT_FEE</f>
        <v/>
      </c>
      <c r="V25" s="24">
        <f>'Volumes'!V29*AUT_FEE</f>
        <v/>
      </c>
      <c r="W25" s="24">
        <f>'Volumes'!W29*AUT_FEE</f>
        <v/>
      </c>
      <c r="X25" s="24">
        <f>'Volumes'!X29*AUT_FEE</f>
        <v/>
      </c>
      <c r="Y25" s="24">
        <f>'Volumes'!Y29*AUT_FEE</f>
        <v/>
      </c>
      <c r="Z25" s="24">
        <f>'Volumes'!Z29*AUT_FEE</f>
        <v/>
      </c>
      <c r="AA25" s="24">
        <f>'Volumes'!AA29*AUT_FEE</f>
        <v/>
      </c>
      <c r="AB25" s="24">
        <f>'Volumes'!AB29*AUT_FEE</f>
        <v/>
      </c>
      <c r="AC25" s="24">
        <f>'Volumes'!AC29*AUT_FEE</f>
        <v/>
      </c>
      <c r="AD25" s="24">
        <f>'Volumes'!AD29*AUT_FEE</f>
        <v/>
      </c>
      <c r="AE25" s="24">
        <f>'Volumes'!AE29*AUT_FEE</f>
        <v/>
      </c>
      <c r="AF25" s="24">
        <f>'Volumes'!AF29*AUT_FEE</f>
        <v/>
      </c>
      <c r="AG25" s="24">
        <f>'Volumes'!AG29*AUT_FEE</f>
        <v/>
      </c>
      <c r="AH25" s="24">
        <f>'Volumes'!AH29*AUT_FEE</f>
        <v/>
      </c>
      <c r="AI25" s="24">
        <f>'Volumes'!AI29*AUT_FEE</f>
        <v/>
      </c>
      <c r="AJ25" s="24">
        <f>'Volumes'!AJ29*AUT_FEE</f>
        <v/>
      </c>
      <c r="AK25" s="24">
        <f>'Volumes'!AK29*AUT_FEE</f>
        <v/>
      </c>
      <c r="AL25" s="24">
        <f>'Volumes'!AL29*AUT_FEE</f>
        <v/>
      </c>
      <c r="AM25" s="24">
        <f>'Volumes'!AM29*AUT_FEE</f>
        <v/>
      </c>
      <c r="AN25" s="24">
        <f>'Volumes'!AN29*AUT_FEE</f>
        <v/>
      </c>
      <c r="AO25" s="24">
        <f>'Volumes'!AO29*AUT_FEE</f>
        <v/>
      </c>
      <c r="AP25" s="24">
        <f>'Volumes'!AP29*AUT_FEE</f>
        <v/>
      </c>
      <c r="AQ25" s="24">
        <f>'Volumes'!AQ29*AUT_FEE</f>
        <v/>
      </c>
      <c r="AR25" s="24">
        <f>'Volumes'!AR29*AUT_FEE</f>
        <v/>
      </c>
      <c r="AS25" s="24">
        <f>'Volumes'!AS29*AUT_FEE</f>
        <v/>
      </c>
      <c r="AT25" s="24">
        <f>'Volumes'!AT29*AUT_FEE</f>
        <v/>
      </c>
      <c r="AU25" s="24">
        <f>'Volumes'!AU29*AUT_FEE</f>
        <v/>
      </c>
      <c r="AV25" s="24">
        <f>'Volumes'!AV29*AUT_FEE</f>
        <v/>
      </c>
      <c r="AW25" s="24">
        <f>'Volumes'!AW29*AUT_FEE</f>
        <v/>
      </c>
      <c r="AX25" s="24">
        <f>'Volumes'!AX29*AUT_FEE</f>
        <v/>
      </c>
      <c r="AY25" s="24">
        <f>'Volumes'!AY29*AUT_FEE</f>
        <v/>
      </c>
      <c r="AZ25" s="24">
        <f>'Volumes'!AZ29*AUT_FEE</f>
        <v/>
      </c>
      <c r="BA25" s="24">
        <f>'Volumes'!BA29*AUT_FEE</f>
        <v/>
      </c>
      <c r="BB25" s="24">
        <f>'Volumes'!BB29*AUT_FEE</f>
        <v/>
      </c>
      <c r="BC25" s="24">
        <f>'Volumes'!BC29*AUT_FEE</f>
        <v/>
      </c>
      <c r="BD25" s="24">
        <f>'Volumes'!BD29*AUT_FEE</f>
        <v/>
      </c>
      <c r="BE25" s="24">
        <f>'Volumes'!BE29*AUT_FEE</f>
        <v/>
      </c>
      <c r="BF25" s="24">
        <f>'Volumes'!BF29*AUT_FEE</f>
        <v/>
      </c>
      <c r="BG25" s="24">
        <f>'Volumes'!BG29*AUT_FEE</f>
        <v/>
      </c>
      <c r="BH25" s="24">
        <f>'Volumes'!BH29*AUT_FEE</f>
        <v/>
      </c>
      <c r="BI25" s="24">
        <f>'Volumes'!BI29*AUT_FEE</f>
        <v/>
      </c>
      <c r="BJ25" s="24">
        <f>'Volumes'!BJ29*AUT_FEE</f>
        <v/>
      </c>
      <c r="BK25" s="24">
        <f>'Volumes'!BK29*AUT_FEE</f>
        <v/>
      </c>
    </row>
    <row r="26">
      <c r="A26" s="30" t="inlineStr">
        <is>
          <t>Mortuary and pathology</t>
        </is>
      </c>
      <c r="B26" s="3" t="inlineStr"/>
      <c r="C26" s="2" t="n"/>
      <c r="D26" s="33">
        <f>SUM(D23:D25)</f>
        <v/>
      </c>
      <c r="E26" s="33">
        <f>SUM(E23:E25)</f>
        <v/>
      </c>
      <c r="F26" s="33">
        <f>SUM(F23:F25)</f>
        <v/>
      </c>
      <c r="G26" s="33">
        <f>SUM(G23:G25)</f>
        <v/>
      </c>
      <c r="H26" s="33">
        <f>SUM(H23:H25)</f>
        <v/>
      </c>
      <c r="I26" s="33">
        <f>SUM(I23:I25)</f>
        <v/>
      </c>
      <c r="J26" s="33">
        <f>SUM(J23:J25)</f>
        <v/>
      </c>
      <c r="K26" s="33">
        <f>SUM(K23:K25)</f>
        <v/>
      </c>
      <c r="L26" s="33">
        <f>SUM(L23:L25)</f>
        <v/>
      </c>
      <c r="M26" s="33">
        <f>SUM(M23:M25)</f>
        <v/>
      </c>
      <c r="N26" s="33">
        <f>SUM(N23:N25)</f>
        <v/>
      </c>
      <c r="O26" s="33">
        <f>SUM(O23:O25)</f>
        <v/>
      </c>
      <c r="P26" s="33">
        <f>SUM(P23:P25)</f>
        <v/>
      </c>
      <c r="Q26" s="33">
        <f>SUM(Q23:Q25)</f>
        <v/>
      </c>
      <c r="R26" s="33">
        <f>SUM(R23:R25)</f>
        <v/>
      </c>
      <c r="S26" s="33">
        <f>SUM(S23:S25)</f>
        <v/>
      </c>
      <c r="T26" s="33">
        <f>SUM(T23:T25)</f>
        <v/>
      </c>
      <c r="U26" s="33">
        <f>SUM(U23:U25)</f>
        <v/>
      </c>
      <c r="V26" s="33">
        <f>SUM(V23:V25)</f>
        <v/>
      </c>
      <c r="W26" s="33">
        <f>SUM(W23:W25)</f>
        <v/>
      </c>
      <c r="X26" s="33">
        <f>SUM(X23:X25)</f>
        <v/>
      </c>
      <c r="Y26" s="33">
        <f>SUM(Y23:Y25)</f>
        <v/>
      </c>
      <c r="Z26" s="33">
        <f>SUM(Z23:Z25)</f>
        <v/>
      </c>
      <c r="AA26" s="33">
        <f>SUM(AA23:AA25)</f>
        <v/>
      </c>
      <c r="AB26" s="33">
        <f>SUM(AB23:AB25)</f>
        <v/>
      </c>
      <c r="AC26" s="33">
        <f>SUM(AC23:AC25)</f>
        <v/>
      </c>
      <c r="AD26" s="33">
        <f>SUM(AD23:AD25)</f>
        <v/>
      </c>
      <c r="AE26" s="33">
        <f>SUM(AE23:AE25)</f>
        <v/>
      </c>
      <c r="AF26" s="33">
        <f>SUM(AF23:AF25)</f>
        <v/>
      </c>
      <c r="AG26" s="33">
        <f>SUM(AG23:AG25)</f>
        <v/>
      </c>
      <c r="AH26" s="33">
        <f>SUM(AH23:AH25)</f>
        <v/>
      </c>
      <c r="AI26" s="33">
        <f>SUM(AI23:AI25)</f>
        <v/>
      </c>
      <c r="AJ26" s="33">
        <f>SUM(AJ23:AJ25)</f>
        <v/>
      </c>
      <c r="AK26" s="33">
        <f>SUM(AK23:AK25)</f>
        <v/>
      </c>
      <c r="AL26" s="33">
        <f>SUM(AL23:AL25)</f>
        <v/>
      </c>
      <c r="AM26" s="33">
        <f>SUM(AM23:AM25)</f>
        <v/>
      </c>
      <c r="AN26" s="33">
        <f>SUM(AN23:AN25)</f>
        <v/>
      </c>
      <c r="AO26" s="33">
        <f>SUM(AO23:AO25)</f>
        <v/>
      </c>
      <c r="AP26" s="33">
        <f>SUM(AP23:AP25)</f>
        <v/>
      </c>
      <c r="AQ26" s="33">
        <f>SUM(AQ23:AQ25)</f>
        <v/>
      </c>
      <c r="AR26" s="33">
        <f>SUM(AR23:AR25)</f>
        <v/>
      </c>
      <c r="AS26" s="33">
        <f>SUM(AS23:AS25)</f>
        <v/>
      </c>
      <c r="AT26" s="33">
        <f>SUM(AT23:AT25)</f>
        <v/>
      </c>
      <c r="AU26" s="33">
        <f>SUM(AU23:AU25)</f>
        <v/>
      </c>
      <c r="AV26" s="33">
        <f>SUM(AV23:AV25)</f>
        <v/>
      </c>
      <c r="AW26" s="33">
        <f>SUM(AW23:AW25)</f>
        <v/>
      </c>
      <c r="AX26" s="33">
        <f>SUM(AX23:AX25)</f>
        <v/>
      </c>
      <c r="AY26" s="33">
        <f>SUM(AY23:AY25)</f>
        <v/>
      </c>
      <c r="AZ26" s="33">
        <f>SUM(AZ23:AZ25)</f>
        <v/>
      </c>
      <c r="BA26" s="33">
        <f>SUM(BA23:BA25)</f>
        <v/>
      </c>
      <c r="BB26" s="33">
        <f>SUM(BB23:BB25)</f>
        <v/>
      </c>
      <c r="BC26" s="33">
        <f>SUM(BC23:BC25)</f>
        <v/>
      </c>
      <c r="BD26" s="33">
        <f>SUM(BD23:BD25)</f>
        <v/>
      </c>
      <c r="BE26" s="33">
        <f>SUM(BE23:BE25)</f>
        <v/>
      </c>
      <c r="BF26" s="33">
        <f>SUM(BF23:BF25)</f>
        <v/>
      </c>
      <c r="BG26" s="33">
        <f>SUM(BG23:BG25)</f>
        <v/>
      </c>
      <c r="BH26" s="33">
        <f>SUM(BH23:BH25)</f>
        <v/>
      </c>
      <c r="BI26" s="33">
        <f>SUM(BI23:BI25)</f>
        <v/>
      </c>
      <c r="BJ26" s="33">
        <f>SUM(BJ23:BJ25)</f>
        <v/>
      </c>
      <c r="BK26" s="33">
        <f>SUM(BK23:BK25)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</row>
    <row r="28">
      <c r="A28" s="12" t="inlineStr">
        <is>
          <t>4. Software</t>
        </is>
      </c>
      <c r="B28" s="13" t="n"/>
      <c r="C28" s="1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</row>
    <row r="29">
      <c r="A29" s="14" t="inlineStr">
        <is>
          <t>Software licences</t>
        </is>
      </c>
      <c r="B29" s="3" t="inlineStr"/>
      <c r="C29" s="2" t="n"/>
      <c r="D29" s="24">
        <f>'Volumes'!D32*SAAS_FEE</f>
        <v/>
      </c>
      <c r="E29" s="24">
        <f>'Volumes'!E32*SAAS_FEE</f>
        <v/>
      </c>
      <c r="F29" s="24">
        <f>'Volumes'!F32*SAAS_FEE</f>
        <v/>
      </c>
      <c r="G29" s="24">
        <f>'Volumes'!G32*SAAS_FEE</f>
        <v/>
      </c>
      <c r="H29" s="24">
        <f>'Volumes'!H32*SAAS_FEE</f>
        <v/>
      </c>
      <c r="I29" s="24">
        <f>'Volumes'!I32*SAAS_FEE</f>
        <v/>
      </c>
      <c r="J29" s="24">
        <f>'Volumes'!J32*SAAS_FEE</f>
        <v/>
      </c>
      <c r="K29" s="24">
        <f>'Volumes'!K32*SAAS_FEE</f>
        <v/>
      </c>
      <c r="L29" s="24">
        <f>'Volumes'!L32*SAAS_FEE</f>
        <v/>
      </c>
      <c r="M29" s="24">
        <f>'Volumes'!M32*SAAS_FEE</f>
        <v/>
      </c>
      <c r="N29" s="24">
        <f>'Volumes'!N32*SAAS_FEE</f>
        <v/>
      </c>
      <c r="O29" s="24">
        <f>'Volumes'!O32*SAAS_FEE</f>
        <v/>
      </c>
      <c r="P29" s="24">
        <f>'Volumes'!P32*SAAS_FEE</f>
        <v/>
      </c>
      <c r="Q29" s="24">
        <f>'Volumes'!Q32*SAAS_FEE</f>
        <v/>
      </c>
      <c r="R29" s="24">
        <f>'Volumes'!R32*SAAS_FEE</f>
        <v/>
      </c>
      <c r="S29" s="24">
        <f>'Volumes'!S32*SAAS_FEE</f>
        <v/>
      </c>
      <c r="T29" s="24">
        <f>'Volumes'!T32*SAAS_FEE</f>
        <v/>
      </c>
      <c r="U29" s="24">
        <f>'Volumes'!U32*SAAS_FEE</f>
        <v/>
      </c>
      <c r="V29" s="24">
        <f>'Volumes'!V32*SAAS_FEE</f>
        <v/>
      </c>
      <c r="W29" s="24">
        <f>'Volumes'!W32*SAAS_FEE</f>
        <v/>
      </c>
      <c r="X29" s="24">
        <f>'Volumes'!X32*SAAS_FEE</f>
        <v/>
      </c>
      <c r="Y29" s="24">
        <f>'Volumes'!Y32*SAAS_FEE</f>
        <v/>
      </c>
      <c r="Z29" s="24">
        <f>'Volumes'!Z32*SAAS_FEE</f>
        <v/>
      </c>
      <c r="AA29" s="24">
        <f>'Volumes'!AA32*SAAS_FEE</f>
        <v/>
      </c>
      <c r="AB29" s="24">
        <f>'Volumes'!AB32*SAAS_FEE</f>
        <v/>
      </c>
      <c r="AC29" s="24">
        <f>'Volumes'!AC32*SAAS_FEE</f>
        <v/>
      </c>
      <c r="AD29" s="24">
        <f>'Volumes'!AD32*SAAS_FEE</f>
        <v/>
      </c>
      <c r="AE29" s="24">
        <f>'Volumes'!AE32*SAAS_FEE</f>
        <v/>
      </c>
      <c r="AF29" s="24">
        <f>'Volumes'!AF32*SAAS_FEE</f>
        <v/>
      </c>
      <c r="AG29" s="24">
        <f>'Volumes'!AG32*SAAS_FEE</f>
        <v/>
      </c>
      <c r="AH29" s="24">
        <f>'Volumes'!AH32*SAAS_FEE</f>
        <v/>
      </c>
      <c r="AI29" s="24">
        <f>'Volumes'!AI32*SAAS_FEE</f>
        <v/>
      </c>
      <c r="AJ29" s="24">
        <f>'Volumes'!AJ32*SAAS_FEE</f>
        <v/>
      </c>
      <c r="AK29" s="24">
        <f>'Volumes'!AK32*SAAS_FEE</f>
        <v/>
      </c>
      <c r="AL29" s="24">
        <f>'Volumes'!AL32*SAAS_FEE</f>
        <v/>
      </c>
      <c r="AM29" s="24">
        <f>'Volumes'!AM32*SAAS_FEE</f>
        <v/>
      </c>
      <c r="AN29" s="24">
        <f>'Volumes'!AN32*SAAS_FEE</f>
        <v/>
      </c>
      <c r="AO29" s="24">
        <f>'Volumes'!AO32*SAAS_FEE</f>
        <v/>
      </c>
      <c r="AP29" s="24">
        <f>'Volumes'!AP32*SAAS_FEE</f>
        <v/>
      </c>
      <c r="AQ29" s="24">
        <f>'Volumes'!AQ32*SAAS_FEE</f>
        <v/>
      </c>
      <c r="AR29" s="24">
        <f>'Volumes'!AR32*SAAS_FEE</f>
        <v/>
      </c>
      <c r="AS29" s="24">
        <f>'Volumes'!AS32*SAAS_FEE</f>
        <v/>
      </c>
      <c r="AT29" s="24">
        <f>'Volumes'!AT32*SAAS_FEE</f>
        <v/>
      </c>
      <c r="AU29" s="24">
        <f>'Volumes'!AU32*SAAS_FEE</f>
        <v/>
      </c>
      <c r="AV29" s="24">
        <f>'Volumes'!AV32*SAAS_FEE</f>
        <v/>
      </c>
      <c r="AW29" s="24">
        <f>'Volumes'!AW32*SAAS_FEE</f>
        <v/>
      </c>
      <c r="AX29" s="24">
        <f>'Volumes'!AX32*SAAS_FEE</f>
        <v/>
      </c>
      <c r="AY29" s="24">
        <f>'Volumes'!AY32*SAAS_FEE</f>
        <v/>
      </c>
      <c r="AZ29" s="24">
        <f>'Volumes'!AZ32*SAAS_FEE</f>
        <v/>
      </c>
      <c r="BA29" s="24">
        <f>'Volumes'!BA32*SAAS_FEE</f>
        <v/>
      </c>
      <c r="BB29" s="24">
        <f>'Volumes'!BB32*SAAS_FEE</f>
        <v/>
      </c>
      <c r="BC29" s="24">
        <f>'Volumes'!BC32*SAAS_FEE</f>
        <v/>
      </c>
      <c r="BD29" s="24">
        <f>'Volumes'!BD32*SAAS_FEE</f>
        <v/>
      </c>
      <c r="BE29" s="24">
        <f>'Volumes'!BE32*SAAS_FEE</f>
        <v/>
      </c>
      <c r="BF29" s="24">
        <f>'Volumes'!BF32*SAAS_FEE</f>
        <v/>
      </c>
      <c r="BG29" s="24">
        <f>'Volumes'!BG32*SAAS_FEE</f>
        <v/>
      </c>
      <c r="BH29" s="24">
        <f>'Volumes'!BH32*SAAS_FEE</f>
        <v/>
      </c>
      <c r="BI29" s="24">
        <f>'Volumes'!BI32*SAAS_FEE</f>
        <v/>
      </c>
      <c r="BJ29" s="24">
        <f>'Volumes'!BJ32*SAAS_FEE</f>
        <v/>
      </c>
      <c r="BK29" s="24">
        <f>'Volumes'!BK32*SAAS_FEE</f>
        <v/>
      </c>
    </row>
    <row r="30">
      <c r="A30" s="30" t="inlineStr">
        <is>
          <t>Software</t>
        </is>
      </c>
      <c r="B30" s="3" t="inlineStr"/>
      <c r="C30" s="2" t="n"/>
      <c r="D30" s="33">
        <f>D29</f>
        <v/>
      </c>
      <c r="E30" s="33">
        <f>E29</f>
        <v/>
      </c>
      <c r="F30" s="33">
        <f>F29</f>
        <v/>
      </c>
      <c r="G30" s="33">
        <f>G29</f>
        <v/>
      </c>
      <c r="H30" s="33">
        <f>H29</f>
        <v/>
      </c>
      <c r="I30" s="33">
        <f>I29</f>
        <v/>
      </c>
      <c r="J30" s="33">
        <f>J29</f>
        <v/>
      </c>
      <c r="K30" s="33">
        <f>K29</f>
        <v/>
      </c>
      <c r="L30" s="33">
        <f>L29</f>
        <v/>
      </c>
      <c r="M30" s="33">
        <f>M29</f>
        <v/>
      </c>
      <c r="N30" s="33">
        <f>N29</f>
        <v/>
      </c>
      <c r="O30" s="33">
        <f>O29</f>
        <v/>
      </c>
      <c r="P30" s="33">
        <f>P29</f>
        <v/>
      </c>
      <c r="Q30" s="33">
        <f>Q29</f>
        <v/>
      </c>
      <c r="R30" s="33">
        <f>R29</f>
        <v/>
      </c>
      <c r="S30" s="33">
        <f>S29</f>
        <v/>
      </c>
      <c r="T30" s="33">
        <f>T29</f>
        <v/>
      </c>
      <c r="U30" s="33">
        <f>U29</f>
        <v/>
      </c>
      <c r="V30" s="33">
        <f>V29</f>
        <v/>
      </c>
      <c r="W30" s="33">
        <f>W29</f>
        <v/>
      </c>
      <c r="X30" s="33">
        <f>X29</f>
        <v/>
      </c>
      <c r="Y30" s="33">
        <f>Y29</f>
        <v/>
      </c>
      <c r="Z30" s="33">
        <f>Z29</f>
        <v/>
      </c>
      <c r="AA30" s="33">
        <f>AA29</f>
        <v/>
      </c>
      <c r="AB30" s="33">
        <f>AB29</f>
        <v/>
      </c>
      <c r="AC30" s="33">
        <f>AC29</f>
        <v/>
      </c>
      <c r="AD30" s="33">
        <f>AD29</f>
        <v/>
      </c>
      <c r="AE30" s="33">
        <f>AE29</f>
        <v/>
      </c>
      <c r="AF30" s="33">
        <f>AF29</f>
        <v/>
      </c>
      <c r="AG30" s="33">
        <f>AG29</f>
        <v/>
      </c>
      <c r="AH30" s="33">
        <f>AH29</f>
        <v/>
      </c>
      <c r="AI30" s="33">
        <f>AI29</f>
        <v/>
      </c>
      <c r="AJ30" s="33">
        <f>AJ29</f>
        <v/>
      </c>
      <c r="AK30" s="33">
        <f>AK29</f>
        <v/>
      </c>
      <c r="AL30" s="33">
        <f>AL29</f>
        <v/>
      </c>
      <c r="AM30" s="33">
        <f>AM29</f>
        <v/>
      </c>
      <c r="AN30" s="33">
        <f>AN29</f>
        <v/>
      </c>
      <c r="AO30" s="33">
        <f>AO29</f>
        <v/>
      </c>
      <c r="AP30" s="33">
        <f>AP29</f>
        <v/>
      </c>
      <c r="AQ30" s="33">
        <f>AQ29</f>
        <v/>
      </c>
      <c r="AR30" s="33">
        <f>AR29</f>
        <v/>
      </c>
      <c r="AS30" s="33">
        <f>AS29</f>
        <v/>
      </c>
      <c r="AT30" s="33">
        <f>AT29</f>
        <v/>
      </c>
      <c r="AU30" s="33">
        <f>AU29</f>
        <v/>
      </c>
      <c r="AV30" s="33">
        <f>AV29</f>
        <v/>
      </c>
      <c r="AW30" s="33">
        <f>AW29</f>
        <v/>
      </c>
      <c r="AX30" s="33">
        <f>AX29</f>
        <v/>
      </c>
      <c r="AY30" s="33">
        <f>AY29</f>
        <v/>
      </c>
      <c r="AZ30" s="33">
        <f>AZ29</f>
        <v/>
      </c>
      <c r="BA30" s="33">
        <f>BA29</f>
        <v/>
      </c>
      <c r="BB30" s="33">
        <f>BB29</f>
        <v/>
      </c>
      <c r="BC30" s="33">
        <f>BC29</f>
        <v/>
      </c>
      <c r="BD30" s="33">
        <f>BD29</f>
        <v/>
      </c>
      <c r="BE30" s="33">
        <f>BE29</f>
        <v/>
      </c>
      <c r="BF30" s="33">
        <f>BF29</f>
        <v/>
      </c>
      <c r="BG30" s="33">
        <f>BG29</f>
        <v/>
      </c>
      <c r="BH30" s="33">
        <f>BH29</f>
        <v/>
      </c>
      <c r="BI30" s="33">
        <f>BI29</f>
        <v/>
      </c>
      <c r="BJ30" s="33">
        <f>BJ29</f>
        <v/>
      </c>
      <c r="BK30" s="33">
        <f>BK29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</row>
    <row r="32">
      <c r="A32" s="30" t="inlineStr">
        <is>
          <t>Revenue</t>
        </is>
      </c>
      <c r="B32" s="3" t="inlineStr"/>
      <c r="C32" s="2" t="n"/>
      <c r="D32" s="33">
        <f>D14+D20+D26+D30</f>
        <v/>
      </c>
      <c r="E32" s="33">
        <f>E14+E20+E26+E30</f>
        <v/>
      </c>
      <c r="F32" s="33">
        <f>F14+F20+F26+F30</f>
        <v/>
      </c>
      <c r="G32" s="33">
        <f>G14+G20+G26+G30</f>
        <v/>
      </c>
      <c r="H32" s="33">
        <f>H14+H20+H26+H30</f>
        <v/>
      </c>
      <c r="I32" s="33">
        <f>I14+I20+I26+I30</f>
        <v/>
      </c>
      <c r="J32" s="33">
        <f>J14+J20+J26+J30</f>
        <v/>
      </c>
      <c r="K32" s="33">
        <f>K14+K20+K26+K30</f>
        <v/>
      </c>
      <c r="L32" s="33">
        <f>L14+L20+L26+L30</f>
        <v/>
      </c>
      <c r="M32" s="33">
        <f>M14+M20+M26+M30</f>
        <v/>
      </c>
      <c r="N32" s="33">
        <f>N14+N20+N26+N30</f>
        <v/>
      </c>
      <c r="O32" s="33">
        <f>O14+O20+O26+O30</f>
        <v/>
      </c>
      <c r="P32" s="33">
        <f>P14+P20+P26+P30</f>
        <v/>
      </c>
      <c r="Q32" s="33">
        <f>Q14+Q20+Q26+Q30</f>
        <v/>
      </c>
      <c r="R32" s="33">
        <f>R14+R20+R26+R30</f>
        <v/>
      </c>
      <c r="S32" s="33">
        <f>S14+S20+S26+S30</f>
        <v/>
      </c>
      <c r="T32" s="33">
        <f>T14+T20+T26+T30</f>
        <v/>
      </c>
      <c r="U32" s="33">
        <f>U14+U20+U26+U30</f>
        <v/>
      </c>
      <c r="V32" s="33">
        <f>V14+V20+V26+V30</f>
        <v/>
      </c>
      <c r="W32" s="33">
        <f>W14+W20+W26+W30</f>
        <v/>
      </c>
      <c r="X32" s="33">
        <f>X14+X20+X26+X30</f>
        <v/>
      </c>
      <c r="Y32" s="33">
        <f>Y14+Y20+Y26+Y30</f>
        <v/>
      </c>
      <c r="Z32" s="33">
        <f>Z14+Z20+Z26+Z30</f>
        <v/>
      </c>
      <c r="AA32" s="33">
        <f>AA14+AA20+AA26+AA30</f>
        <v/>
      </c>
      <c r="AB32" s="33">
        <f>AB14+AB20+AB26+AB30</f>
        <v/>
      </c>
      <c r="AC32" s="33">
        <f>AC14+AC20+AC26+AC30</f>
        <v/>
      </c>
      <c r="AD32" s="33">
        <f>AD14+AD20+AD26+AD30</f>
        <v/>
      </c>
      <c r="AE32" s="33">
        <f>AE14+AE20+AE26+AE30</f>
        <v/>
      </c>
      <c r="AF32" s="33">
        <f>AF14+AF20+AF26+AF30</f>
        <v/>
      </c>
      <c r="AG32" s="33">
        <f>AG14+AG20+AG26+AG30</f>
        <v/>
      </c>
      <c r="AH32" s="33">
        <f>AH14+AH20+AH26+AH30</f>
        <v/>
      </c>
      <c r="AI32" s="33">
        <f>AI14+AI20+AI26+AI30</f>
        <v/>
      </c>
      <c r="AJ32" s="33">
        <f>AJ14+AJ20+AJ26+AJ30</f>
        <v/>
      </c>
      <c r="AK32" s="33">
        <f>AK14+AK20+AK26+AK30</f>
        <v/>
      </c>
      <c r="AL32" s="33">
        <f>AL14+AL20+AL26+AL30</f>
        <v/>
      </c>
      <c r="AM32" s="33">
        <f>AM14+AM20+AM26+AM30</f>
        <v/>
      </c>
      <c r="AN32" s="33">
        <f>AN14+AN20+AN26+AN30</f>
        <v/>
      </c>
      <c r="AO32" s="33">
        <f>AO14+AO20+AO26+AO30</f>
        <v/>
      </c>
      <c r="AP32" s="33">
        <f>AP14+AP20+AP26+AP30</f>
        <v/>
      </c>
      <c r="AQ32" s="33">
        <f>AQ14+AQ20+AQ26+AQ30</f>
        <v/>
      </c>
      <c r="AR32" s="33">
        <f>AR14+AR20+AR26+AR30</f>
        <v/>
      </c>
      <c r="AS32" s="33">
        <f>AS14+AS20+AS26+AS30</f>
        <v/>
      </c>
      <c r="AT32" s="33">
        <f>AT14+AT20+AT26+AT30</f>
        <v/>
      </c>
      <c r="AU32" s="33">
        <f>AU14+AU20+AU26+AU30</f>
        <v/>
      </c>
      <c r="AV32" s="33">
        <f>AV14+AV20+AV26+AV30</f>
        <v/>
      </c>
      <c r="AW32" s="33">
        <f>AW14+AW20+AW26+AW30</f>
        <v/>
      </c>
      <c r="AX32" s="33">
        <f>AX14+AX20+AX26+AX30</f>
        <v/>
      </c>
      <c r="AY32" s="33">
        <f>AY14+AY20+AY26+AY30</f>
        <v/>
      </c>
      <c r="AZ32" s="33">
        <f>AZ14+AZ20+AZ26+AZ30</f>
        <v/>
      </c>
      <c r="BA32" s="33">
        <f>BA14+BA20+BA26+BA30</f>
        <v/>
      </c>
      <c r="BB32" s="33">
        <f>BB14+BB20+BB26+BB30</f>
        <v/>
      </c>
      <c r="BC32" s="33">
        <f>BC14+BC20+BC26+BC30</f>
        <v/>
      </c>
      <c r="BD32" s="33">
        <f>BD14+BD20+BD26+BD30</f>
        <v/>
      </c>
      <c r="BE32" s="33">
        <f>BE14+BE20+BE26+BE30</f>
        <v/>
      </c>
      <c r="BF32" s="33">
        <f>BF14+BF20+BF26+BF30</f>
        <v/>
      </c>
      <c r="BG32" s="33">
        <f>BG14+BG20+BG26+BG30</f>
        <v/>
      </c>
      <c r="BH32" s="33">
        <f>BH14+BH20+BH26+BH30</f>
        <v/>
      </c>
      <c r="BI32" s="33">
        <f>BI14+BI20+BI26+BI30</f>
        <v/>
      </c>
      <c r="BJ32" s="33">
        <f>BJ14+BJ20+BJ26+BJ30</f>
        <v/>
      </c>
      <c r="BK32" s="33">
        <f>BK14+BK20+BK26+BK30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</cols>
  <sheetData>
    <row r="1">
      <c r="A1" s="1" t="inlineStr">
        <is>
          <t>Ilé: costs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s="3" t="inlineStr">
        <is>
          <t>Four buckets: direct, site operating, leases, central. Naira a month.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</row>
    <row r="4">
      <c r="A4" s="4" t="inlineStr">
        <is>
          <t>Month</t>
        </is>
      </c>
      <c r="B4" s="2" t="n"/>
      <c r="C4" s="2" t="n"/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4" t="n">
        <v>37</v>
      </c>
      <c r="AO4" s="4" t="n">
        <v>38</v>
      </c>
      <c r="AP4" s="4" t="n">
        <v>39</v>
      </c>
      <c r="AQ4" s="4" t="n">
        <v>40</v>
      </c>
      <c r="AR4" s="4" t="n">
        <v>41</v>
      </c>
      <c r="AS4" s="4" t="n">
        <v>42</v>
      </c>
      <c r="AT4" s="4" t="n">
        <v>43</v>
      </c>
      <c r="AU4" s="4" t="n">
        <v>44</v>
      </c>
      <c r="AV4" s="4" t="n">
        <v>45</v>
      </c>
      <c r="AW4" s="4" t="n">
        <v>46</v>
      </c>
      <c r="AX4" s="4" t="n">
        <v>47</v>
      </c>
      <c r="AY4" s="4" t="n">
        <v>48</v>
      </c>
      <c r="AZ4" s="4" t="n">
        <v>49</v>
      </c>
      <c r="BA4" s="4" t="n">
        <v>50</v>
      </c>
      <c r="BB4" s="4" t="n">
        <v>51</v>
      </c>
      <c r="BC4" s="4" t="n">
        <v>52</v>
      </c>
      <c r="BD4" s="4" t="n">
        <v>53</v>
      </c>
      <c r="BE4" s="4" t="n">
        <v>54</v>
      </c>
      <c r="BF4" s="4" t="n">
        <v>55</v>
      </c>
      <c r="BG4" s="4" t="n">
        <v>56</v>
      </c>
      <c r="BH4" s="4" t="n">
        <v>57</v>
      </c>
      <c r="BI4" s="4" t="n">
        <v>58</v>
      </c>
      <c r="BJ4" s="4" t="n">
        <v>59</v>
      </c>
      <c r="BK4" s="4" t="n">
        <v>60</v>
      </c>
    </row>
    <row r="5">
      <c r="A5" s="4" t="inlineStr">
        <is>
          <t>Period</t>
        </is>
      </c>
      <c r="B5" s="2" t="n"/>
      <c r="C5" s="2" t="n"/>
      <c r="D5" s="28" t="inlineStr">
        <is>
          <t>Nov 2026</t>
        </is>
      </c>
      <c r="E5" s="28" t="inlineStr">
        <is>
          <t>Dec 2026</t>
        </is>
      </c>
      <c r="F5" s="28" t="inlineStr">
        <is>
          <t>Jan 2027</t>
        </is>
      </c>
      <c r="G5" s="28" t="inlineStr">
        <is>
          <t>Feb 2027</t>
        </is>
      </c>
      <c r="H5" s="28" t="inlineStr">
        <is>
          <t>Mar 2027</t>
        </is>
      </c>
      <c r="I5" s="28" t="inlineStr">
        <is>
          <t>Apr 2027</t>
        </is>
      </c>
      <c r="J5" s="28" t="inlineStr">
        <is>
          <t>May 2027</t>
        </is>
      </c>
      <c r="K5" s="28" t="inlineStr">
        <is>
          <t>Jun 2027</t>
        </is>
      </c>
      <c r="L5" s="28" t="inlineStr">
        <is>
          <t>Jul 2027</t>
        </is>
      </c>
      <c r="M5" s="28" t="inlineStr">
        <is>
          <t>Aug 2027</t>
        </is>
      </c>
      <c r="N5" s="28" t="inlineStr">
        <is>
          <t>Sep 2027</t>
        </is>
      </c>
      <c r="O5" s="28" t="inlineStr">
        <is>
          <t>Oct 2027</t>
        </is>
      </c>
      <c r="P5" s="28" t="inlineStr">
        <is>
          <t>Nov 2027</t>
        </is>
      </c>
      <c r="Q5" s="28" t="inlineStr">
        <is>
          <t>Dec 2027</t>
        </is>
      </c>
      <c r="R5" s="28" t="inlineStr">
        <is>
          <t>Jan 2028</t>
        </is>
      </c>
      <c r="S5" s="28" t="inlineStr">
        <is>
          <t>Feb 2028</t>
        </is>
      </c>
      <c r="T5" s="28" t="inlineStr">
        <is>
          <t>Mar 2028</t>
        </is>
      </c>
      <c r="U5" s="28" t="inlineStr">
        <is>
          <t>Apr 2028</t>
        </is>
      </c>
      <c r="V5" s="28" t="inlineStr">
        <is>
          <t>May 2028</t>
        </is>
      </c>
      <c r="W5" s="28" t="inlineStr">
        <is>
          <t>Jun 2028</t>
        </is>
      </c>
      <c r="X5" s="28" t="inlineStr">
        <is>
          <t>Jul 2028</t>
        </is>
      </c>
      <c r="Y5" s="28" t="inlineStr">
        <is>
          <t>Aug 2028</t>
        </is>
      </c>
      <c r="Z5" s="28" t="inlineStr">
        <is>
          <t>Sep 2028</t>
        </is>
      </c>
      <c r="AA5" s="28" t="inlineStr">
        <is>
          <t>Oct 2028</t>
        </is>
      </c>
      <c r="AB5" s="28" t="inlineStr">
        <is>
          <t>Nov 2028</t>
        </is>
      </c>
      <c r="AC5" s="28" t="inlineStr">
        <is>
          <t>Dec 2028</t>
        </is>
      </c>
      <c r="AD5" s="28" t="inlineStr">
        <is>
          <t>Jan 2029</t>
        </is>
      </c>
      <c r="AE5" s="28" t="inlineStr">
        <is>
          <t>Feb 2029</t>
        </is>
      </c>
      <c r="AF5" s="28" t="inlineStr">
        <is>
          <t>Mar 2029</t>
        </is>
      </c>
      <c r="AG5" s="28" t="inlineStr">
        <is>
          <t>Apr 2029</t>
        </is>
      </c>
      <c r="AH5" s="28" t="inlineStr">
        <is>
          <t>May 2029</t>
        </is>
      </c>
      <c r="AI5" s="28" t="inlineStr">
        <is>
          <t>Jun 2029</t>
        </is>
      </c>
      <c r="AJ5" s="28" t="inlineStr">
        <is>
          <t>Jul 2029</t>
        </is>
      </c>
      <c r="AK5" s="28" t="inlineStr">
        <is>
          <t>Aug 2029</t>
        </is>
      </c>
      <c r="AL5" s="28" t="inlineStr">
        <is>
          <t>Sep 2029</t>
        </is>
      </c>
      <c r="AM5" s="28" t="inlineStr">
        <is>
          <t>Oct 2029</t>
        </is>
      </c>
      <c r="AN5" s="28" t="inlineStr">
        <is>
          <t>Nov 2029</t>
        </is>
      </c>
      <c r="AO5" s="28" t="inlineStr">
        <is>
          <t>Dec 2029</t>
        </is>
      </c>
      <c r="AP5" s="28" t="inlineStr">
        <is>
          <t>Jan 2030</t>
        </is>
      </c>
      <c r="AQ5" s="28" t="inlineStr">
        <is>
          <t>Feb 2030</t>
        </is>
      </c>
      <c r="AR5" s="28" t="inlineStr">
        <is>
          <t>Mar 2030</t>
        </is>
      </c>
      <c r="AS5" s="28" t="inlineStr">
        <is>
          <t>Apr 2030</t>
        </is>
      </c>
      <c r="AT5" s="28" t="inlineStr">
        <is>
          <t>May 2030</t>
        </is>
      </c>
      <c r="AU5" s="28" t="inlineStr">
        <is>
          <t>Jun 2030</t>
        </is>
      </c>
      <c r="AV5" s="28" t="inlineStr">
        <is>
          <t>Jul 2030</t>
        </is>
      </c>
      <c r="AW5" s="28" t="inlineStr">
        <is>
          <t>Aug 2030</t>
        </is>
      </c>
      <c r="AX5" s="28" t="inlineStr">
        <is>
          <t>Sep 2030</t>
        </is>
      </c>
      <c r="AY5" s="28" t="inlineStr">
        <is>
          <t>Oct 2030</t>
        </is>
      </c>
      <c r="AZ5" s="28" t="inlineStr">
        <is>
          <t>Nov 2030</t>
        </is>
      </c>
      <c r="BA5" s="28" t="inlineStr">
        <is>
          <t>Dec 2030</t>
        </is>
      </c>
      <c r="BB5" s="28" t="inlineStr">
        <is>
          <t>Jan 2031</t>
        </is>
      </c>
      <c r="BC5" s="28" t="inlineStr">
        <is>
          <t>Feb 2031</t>
        </is>
      </c>
      <c r="BD5" s="28" t="inlineStr">
        <is>
          <t>Mar 2031</t>
        </is>
      </c>
      <c r="BE5" s="28" t="inlineStr">
        <is>
          <t>Apr 2031</t>
        </is>
      </c>
      <c r="BF5" s="28" t="inlineStr">
        <is>
          <t>May 2031</t>
        </is>
      </c>
      <c r="BG5" s="28" t="inlineStr">
        <is>
          <t>Jun 2031</t>
        </is>
      </c>
      <c r="BH5" s="28" t="inlineStr">
        <is>
          <t>Jul 2031</t>
        </is>
      </c>
      <c r="BI5" s="28" t="inlineStr">
        <is>
          <t>Aug 2031</t>
        </is>
      </c>
      <c r="BJ5" s="28" t="inlineStr">
        <is>
          <t>Sep 2031</t>
        </is>
      </c>
      <c r="BK5" s="28" t="inlineStr">
        <is>
          <t>Oct 2031</t>
        </is>
      </c>
    </row>
    <row r="6">
      <c r="A6" s="4" t="inlineStr">
        <is>
          <t>Model year</t>
        </is>
      </c>
      <c r="B6" s="2" t="n"/>
      <c r="C6" s="2" t="n"/>
      <c r="D6" s="14">
        <f>INT((D$4-1)/12)+1</f>
        <v/>
      </c>
      <c r="E6" s="14">
        <f>INT((E$4-1)/12)+1</f>
        <v/>
      </c>
      <c r="F6" s="14">
        <f>INT((F$4-1)/12)+1</f>
        <v/>
      </c>
      <c r="G6" s="14">
        <f>INT((G$4-1)/12)+1</f>
        <v/>
      </c>
      <c r="H6" s="14">
        <f>INT((H$4-1)/12)+1</f>
        <v/>
      </c>
      <c r="I6" s="14">
        <f>INT((I$4-1)/12)+1</f>
        <v/>
      </c>
      <c r="J6" s="14">
        <f>INT((J$4-1)/12)+1</f>
        <v/>
      </c>
      <c r="K6" s="14">
        <f>INT((K$4-1)/12)+1</f>
        <v/>
      </c>
      <c r="L6" s="14">
        <f>INT((L$4-1)/12)+1</f>
        <v/>
      </c>
      <c r="M6" s="14">
        <f>INT((M$4-1)/12)+1</f>
        <v/>
      </c>
      <c r="N6" s="14">
        <f>INT((N$4-1)/12)+1</f>
        <v/>
      </c>
      <c r="O6" s="14">
        <f>INT((O$4-1)/12)+1</f>
        <v/>
      </c>
      <c r="P6" s="14">
        <f>INT((P$4-1)/12)+1</f>
        <v/>
      </c>
      <c r="Q6" s="14">
        <f>INT((Q$4-1)/12)+1</f>
        <v/>
      </c>
      <c r="R6" s="14">
        <f>INT((R$4-1)/12)+1</f>
        <v/>
      </c>
      <c r="S6" s="14">
        <f>INT((S$4-1)/12)+1</f>
        <v/>
      </c>
      <c r="T6" s="14">
        <f>INT((T$4-1)/12)+1</f>
        <v/>
      </c>
      <c r="U6" s="14">
        <f>INT((U$4-1)/12)+1</f>
        <v/>
      </c>
      <c r="V6" s="14">
        <f>INT((V$4-1)/12)+1</f>
        <v/>
      </c>
      <c r="W6" s="14">
        <f>INT((W$4-1)/12)+1</f>
        <v/>
      </c>
      <c r="X6" s="14">
        <f>INT((X$4-1)/12)+1</f>
        <v/>
      </c>
      <c r="Y6" s="14">
        <f>INT((Y$4-1)/12)+1</f>
        <v/>
      </c>
      <c r="Z6" s="14">
        <f>INT((Z$4-1)/12)+1</f>
        <v/>
      </c>
      <c r="AA6" s="14">
        <f>INT((AA$4-1)/12)+1</f>
        <v/>
      </c>
      <c r="AB6" s="14">
        <f>INT((AB$4-1)/12)+1</f>
        <v/>
      </c>
      <c r="AC6" s="14">
        <f>INT((AC$4-1)/12)+1</f>
        <v/>
      </c>
      <c r="AD6" s="14">
        <f>INT((AD$4-1)/12)+1</f>
        <v/>
      </c>
      <c r="AE6" s="14">
        <f>INT((AE$4-1)/12)+1</f>
        <v/>
      </c>
      <c r="AF6" s="14">
        <f>INT((AF$4-1)/12)+1</f>
        <v/>
      </c>
      <c r="AG6" s="14">
        <f>INT((AG$4-1)/12)+1</f>
        <v/>
      </c>
      <c r="AH6" s="14">
        <f>INT((AH$4-1)/12)+1</f>
        <v/>
      </c>
      <c r="AI6" s="14">
        <f>INT((AI$4-1)/12)+1</f>
        <v/>
      </c>
      <c r="AJ6" s="14">
        <f>INT((AJ$4-1)/12)+1</f>
        <v/>
      </c>
      <c r="AK6" s="14">
        <f>INT((AK$4-1)/12)+1</f>
        <v/>
      </c>
      <c r="AL6" s="14">
        <f>INT((AL$4-1)/12)+1</f>
        <v/>
      </c>
      <c r="AM6" s="14">
        <f>INT((AM$4-1)/12)+1</f>
        <v/>
      </c>
      <c r="AN6" s="14">
        <f>INT((AN$4-1)/12)+1</f>
        <v/>
      </c>
      <c r="AO6" s="14">
        <f>INT((AO$4-1)/12)+1</f>
        <v/>
      </c>
      <c r="AP6" s="14">
        <f>INT((AP$4-1)/12)+1</f>
        <v/>
      </c>
      <c r="AQ6" s="14">
        <f>INT((AQ$4-1)/12)+1</f>
        <v/>
      </c>
      <c r="AR6" s="14">
        <f>INT((AR$4-1)/12)+1</f>
        <v/>
      </c>
      <c r="AS6" s="14">
        <f>INT((AS$4-1)/12)+1</f>
        <v/>
      </c>
      <c r="AT6" s="14">
        <f>INT((AT$4-1)/12)+1</f>
        <v/>
      </c>
      <c r="AU6" s="14">
        <f>INT((AU$4-1)/12)+1</f>
        <v/>
      </c>
      <c r="AV6" s="14">
        <f>INT((AV$4-1)/12)+1</f>
        <v/>
      </c>
      <c r="AW6" s="14">
        <f>INT((AW$4-1)/12)+1</f>
        <v/>
      </c>
      <c r="AX6" s="14">
        <f>INT((AX$4-1)/12)+1</f>
        <v/>
      </c>
      <c r="AY6" s="14">
        <f>INT((AY$4-1)/12)+1</f>
        <v/>
      </c>
      <c r="AZ6" s="14">
        <f>INT((AZ$4-1)/12)+1</f>
        <v/>
      </c>
      <c r="BA6" s="14">
        <f>INT((BA$4-1)/12)+1</f>
        <v/>
      </c>
      <c r="BB6" s="14">
        <f>INT((BB$4-1)/12)+1</f>
        <v/>
      </c>
      <c r="BC6" s="14">
        <f>INT((BC$4-1)/12)+1</f>
        <v/>
      </c>
      <c r="BD6" s="14">
        <f>INT((BD$4-1)/12)+1</f>
        <v/>
      </c>
      <c r="BE6" s="14">
        <f>INT((BE$4-1)/12)+1</f>
        <v/>
      </c>
      <c r="BF6" s="14">
        <f>INT((BF$4-1)/12)+1</f>
        <v/>
      </c>
      <c r="BG6" s="14">
        <f>INT((BG$4-1)/12)+1</f>
        <v/>
      </c>
      <c r="BH6" s="14">
        <f>INT((BH$4-1)/12)+1</f>
        <v/>
      </c>
      <c r="BI6" s="14">
        <f>INT((BI$4-1)/12)+1</f>
        <v/>
      </c>
      <c r="BJ6" s="14">
        <f>INT((BJ$4-1)/12)+1</f>
        <v/>
      </c>
      <c r="BK6" s="14">
        <f>INT((BK$4-1)/12)+1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</row>
    <row r="8">
      <c r="A8" s="12" t="inlineStr">
        <is>
          <t>A. Direct costs, by stream</t>
        </is>
      </c>
      <c r="B8" s="13" t="n"/>
      <c r="C8" s="1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</row>
    <row r="9">
      <c r="A9" s="14" t="inlineStr">
        <is>
          <t>Concierge</t>
        </is>
      </c>
      <c r="B9" s="3" t="inlineStr"/>
      <c r="C9" s="2" t="n"/>
      <c r="D9" s="24">
        <f>'Revenue'!D9*CONC_DIRECT</f>
        <v/>
      </c>
      <c r="E9" s="24">
        <f>'Revenue'!E9*CONC_DIRECT</f>
        <v/>
      </c>
      <c r="F9" s="24">
        <f>'Revenue'!F9*CONC_DIRECT</f>
        <v/>
      </c>
      <c r="G9" s="24">
        <f>'Revenue'!G9*CONC_DIRECT</f>
        <v/>
      </c>
      <c r="H9" s="24">
        <f>'Revenue'!H9*CONC_DIRECT</f>
        <v/>
      </c>
      <c r="I9" s="24">
        <f>'Revenue'!I9*CONC_DIRECT</f>
        <v/>
      </c>
      <c r="J9" s="24">
        <f>'Revenue'!J9*CONC_DIRECT</f>
        <v/>
      </c>
      <c r="K9" s="24">
        <f>'Revenue'!K9*CONC_DIRECT</f>
        <v/>
      </c>
      <c r="L9" s="24">
        <f>'Revenue'!L9*CONC_DIRECT</f>
        <v/>
      </c>
      <c r="M9" s="24">
        <f>'Revenue'!M9*CONC_DIRECT</f>
        <v/>
      </c>
      <c r="N9" s="24">
        <f>'Revenue'!N9*CONC_DIRECT</f>
        <v/>
      </c>
      <c r="O9" s="24">
        <f>'Revenue'!O9*CONC_DIRECT</f>
        <v/>
      </c>
      <c r="P9" s="24">
        <f>'Revenue'!P9*CONC_DIRECT</f>
        <v/>
      </c>
      <c r="Q9" s="24">
        <f>'Revenue'!Q9*CONC_DIRECT</f>
        <v/>
      </c>
      <c r="R9" s="24">
        <f>'Revenue'!R9*CONC_DIRECT</f>
        <v/>
      </c>
      <c r="S9" s="24">
        <f>'Revenue'!S9*CONC_DIRECT</f>
        <v/>
      </c>
      <c r="T9" s="24">
        <f>'Revenue'!T9*CONC_DIRECT</f>
        <v/>
      </c>
      <c r="U9" s="24">
        <f>'Revenue'!U9*CONC_DIRECT</f>
        <v/>
      </c>
      <c r="V9" s="24">
        <f>'Revenue'!V9*CONC_DIRECT</f>
        <v/>
      </c>
      <c r="W9" s="24">
        <f>'Revenue'!W9*CONC_DIRECT</f>
        <v/>
      </c>
      <c r="X9" s="24">
        <f>'Revenue'!X9*CONC_DIRECT</f>
        <v/>
      </c>
      <c r="Y9" s="24">
        <f>'Revenue'!Y9*CONC_DIRECT</f>
        <v/>
      </c>
      <c r="Z9" s="24">
        <f>'Revenue'!Z9*CONC_DIRECT</f>
        <v/>
      </c>
      <c r="AA9" s="24">
        <f>'Revenue'!AA9*CONC_DIRECT</f>
        <v/>
      </c>
      <c r="AB9" s="24">
        <f>'Revenue'!AB9*CONC_DIRECT</f>
        <v/>
      </c>
      <c r="AC9" s="24">
        <f>'Revenue'!AC9*CONC_DIRECT</f>
        <v/>
      </c>
      <c r="AD9" s="24">
        <f>'Revenue'!AD9*CONC_DIRECT</f>
        <v/>
      </c>
      <c r="AE9" s="24">
        <f>'Revenue'!AE9*CONC_DIRECT</f>
        <v/>
      </c>
      <c r="AF9" s="24">
        <f>'Revenue'!AF9*CONC_DIRECT</f>
        <v/>
      </c>
      <c r="AG9" s="24">
        <f>'Revenue'!AG9*CONC_DIRECT</f>
        <v/>
      </c>
      <c r="AH9" s="24">
        <f>'Revenue'!AH9*CONC_DIRECT</f>
        <v/>
      </c>
      <c r="AI9" s="24">
        <f>'Revenue'!AI9*CONC_DIRECT</f>
        <v/>
      </c>
      <c r="AJ9" s="24">
        <f>'Revenue'!AJ9*CONC_DIRECT</f>
        <v/>
      </c>
      <c r="AK9" s="24">
        <f>'Revenue'!AK9*CONC_DIRECT</f>
        <v/>
      </c>
      <c r="AL9" s="24">
        <f>'Revenue'!AL9*CONC_DIRECT</f>
        <v/>
      </c>
      <c r="AM9" s="24">
        <f>'Revenue'!AM9*CONC_DIRECT</f>
        <v/>
      </c>
      <c r="AN9" s="24">
        <f>'Revenue'!AN9*CONC_DIRECT</f>
        <v/>
      </c>
      <c r="AO9" s="24">
        <f>'Revenue'!AO9*CONC_DIRECT</f>
        <v/>
      </c>
      <c r="AP9" s="24">
        <f>'Revenue'!AP9*CONC_DIRECT</f>
        <v/>
      </c>
      <c r="AQ9" s="24">
        <f>'Revenue'!AQ9*CONC_DIRECT</f>
        <v/>
      </c>
      <c r="AR9" s="24">
        <f>'Revenue'!AR9*CONC_DIRECT</f>
        <v/>
      </c>
      <c r="AS9" s="24">
        <f>'Revenue'!AS9*CONC_DIRECT</f>
        <v/>
      </c>
      <c r="AT9" s="24">
        <f>'Revenue'!AT9*CONC_DIRECT</f>
        <v/>
      </c>
      <c r="AU9" s="24">
        <f>'Revenue'!AU9*CONC_DIRECT</f>
        <v/>
      </c>
      <c r="AV9" s="24">
        <f>'Revenue'!AV9*CONC_DIRECT</f>
        <v/>
      </c>
      <c r="AW9" s="24">
        <f>'Revenue'!AW9*CONC_DIRECT</f>
        <v/>
      </c>
      <c r="AX9" s="24">
        <f>'Revenue'!AX9*CONC_DIRECT</f>
        <v/>
      </c>
      <c r="AY9" s="24">
        <f>'Revenue'!AY9*CONC_DIRECT</f>
        <v/>
      </c>
      <c r="AZ9" s="24">
        <f>'Revenue'!AZ9*CONC_DIRECT</f>
        <v/>
      </c>
      <c r="BA9" s="24">
        <f>'Revenue'!BA9*CONC_DIRECT</f>
        <v/>
      </c>
      <c r="BB9" s="24">
        <f>'Revenue'!BB9*CONC_DIRECT</f>
        <v/>
      </c>
      <c r="BC9" s="24">
        <f>'Revenue'!BC9*CONC_DIRECT</f>
        <v/>
      </c>
      <c r="BD9" s="24">
        <f>'Revenue'!BD9*CONC_DIRECT</f>
        <v/>
      </c>
      <c r="BE9" s="24">
        <f>'Revenue'!BE9*CONC_DIRECT</f>
        <v/>
      </c>
      <c r="BF9" s="24">
        <f>'Revenue'!BF9*CONC_DIRECT</f>
        <v/>
      </c>
      <c r="BG9" s="24">
        <f>'Revenue'!BG9*CONC_DIRECT</f>
        <v/>
      </c>
      <c r="BH9" s="24">
        <f>'Revenue'!BH9*CONC_DIRECT</f>
        <v/>
      </c>
      <c r="BI9" s="24">
        <f>'Revenue'!BI9*CONC_DIRECT</f>
        <v/>
      </c>
      <c r="BJ9" s="24">
        <f>'Revenue'!BJ9*CONC_DIRECT</f>
        <v/>
      </c>
      <c r="BK9" s="24">
        <f>'Revenue'!BK9*CONC_DIRECT</f>
        <v/>
      </c>
    </row>
    <row r="10">
      <c r="A10" s="14" t="inlineStr">
        <is>
          <t>Care at home</t>
        </is>
      </c>
      <c r="B10" s="3" t="inlineStr"/>
      <c r="C10" s="2" t="n"/>
      <c r="D10" s="24">
        <f>'Revenue'!D10*HOME_DIRECT</f>
        <v/>
      </c>
      <c r="E10" s="24">
        <f>'Revenue'!E10*HOME_DIRECT</f>
        <v/>
      </c>
      <c r="F10" s="24">
        <f>'Revenue'!F10*HOME_DIRECT</f>
        <v/>
      </c>
      <c r="G10" s="24">
        <f>'Revenue'!G10*HOME_DIRECT</f>
        <v/>
      </c>
      <c r="H10" s="24">
        <f>'Revenue'!H10*HOME_DIRECT</f>
        <v/>
      </c>
      <c r="I10" s="24">
        <f>'Revenue'!I10*HOME_DIRECT</f>
        <v/>
      </c>
      <c r="J10" s="24">
        <f>'Revenue'!J10*HOME_DIRECT</f>
        <v/>
      </c>
      <c r="K10" s="24">
        <f>'Revenue'!K10*HOME_DIRECT</f>
        <v/>
      </c>
      <c r="L10" s="24">
        <f>'Revenue'!L10*HOME_DIRECT</f>
        <v/>
      </c>
      <c r="M10" s="24">
        <f>'Revenue'!M10*HOME_DIRECT</f>
        <v/>
      </c>
      <c r="N10" s="24">
        <f>'Revenue'!N10*HOME_DIRECT</f>
        <v/>
      </c>
      <c r="O10" s="24">
        <f>'Revenue'!O10*HOME_DIRECT</f>
        <v/>
      </c>
      <c r="P10" s="24">
        <f>'Revenue'!P10*HOME_DIRECT</f>
        <v/>
      </c>
      <c r="Q10" s="24">
        <f>'Revenue'!Q10*HOME_DIRECT</f>
        <v/>
      </c>
      <c r="R10" s="24">
        <f>'Revenue'!R10*HOME_DIRECT</f>
        <v/>
      </c>
      <c r="S10" s="24">
        <f>'Revenue'!S10*HOME_DIRECT</f>
        <v/>
      </c>
      <c r="T10" s="24">
        <f>'Revenue'!T10*HOME_DIRECT</f>
        <v/>
      </c>
      <c r="U10" s="24">
        <f>'Revenue'!U10*HOME_DIRECT</f>
        <v/>
      </c>
      <c r="V10" s="24">
        <f>'Revenue'!V10*HOME_DIRECT</f>
        <v/>
      </c>
      <c r="W10" s="24">
        <f>'Revenue'!W10*HOME_DIRECT</f>
        <v/>
      </c>
      <c r="X10" s="24">
        <f>'Revenue'!X10*HOME_DIRECT</f>
        <v/>
      </c>
      <c r="Y10" s="24">
        <f>'Revenue'!Y10*HOME_DIRECT</f>
        <v/>
      </c>
      <c r="Z10" s="24">
        <f>'Revenue'!Z10*HOME_DIRECT</f>
        <v/>
      </c>
      <c r="AA10" s="24">
        <f>'Revenue'!AA10*HOME_DIRECT</f>
        <v/>
      </c>
      <c r="AB10" s="24">
        <f>'Revenue'!AB10*HOME_DIRECT</f>
        <v/>
      </c>
      <c r="AC10" s="24">
        <f>'Revenue'!AC10*HOME_DIRECT</f>
        <v/>
      </c>
      <c r="AD10" s="24">
        <f>'Revenue'!AD10*HOME_DIRECT</f>
        <v/>
      </c>
      <c r="AE10" s="24">
        <f>'Revenue'!AE10*HOME_DIRECT</f>
        <v/>
      </c>
      <c r="AF10" s="24">
        <f>'Revenue'!AF10*HOME_DIRECT</f>
        <v/>
      </c>
      <c r="AG10" s="24">
        <f>'Revenue'!AG10*HOME_DIRECT</f>
        <v/>
      </c>
      <c r="AH10" s="24">
        <f>'Revenue'!AH10*HOME_DIRECT</f>
        <v/>
      </c>
      <c r="AI10" s="24">
        <f>'Revenue'!AI10*HOME_DIRECT</f>
        <v/>
      </c>
      <c r="AJ10" s="24">
        <f>'Revenue'!AJ10*HOME_DIRECT</f>
        <v/>
      </c>
      <c r="AK10" s="24">
        <f>'Revenue'!AK10*HOME_DIRECT</f>
        <v/>
      </c>
      <c r="AL10" s="24">
        <f>'Revenue'!AL10*HOME_DIRECT</f>
        <v/>
      </c>
      <c r="AM10" s="24">
        <f>'Revenue'!AM10*HOME_DIRECT</f>
        <v/>
      </c>
      <c r="AN10" s="24">
        <f>'Revenue'!AN10*HOME_DIRECT</f>
        <v/>
      </c>
      <c r="AO10" s="24">
        <f>'Revenue'!AO10*HOME_DIRECT</f>
        <v/>
      </c>
      <c r="AP10" s="24">
        <f>'Revenue'!AP10*HOME_DIRECT</f>
        <v/>
      </c>
      <c r="AQ10" s="24">
        <f>'Revenue'!AQ10*HOME_DIRECT</f>
        <v/>
      </c>
      <c r="AR10" s="24">
        <f>'Revenue'!AR10*HOME_DIRECT</f>
        <v/>
      </c>
      <c r="AS10" s="24">
        <f>'Revenue'!AS10*HOME_DIRECT</f>
        <v/>
      </c>
      <c r="AT10" s="24">
        <f>'Revenue'!AT10*HOME_DIRECT</f>
        <v/>
      </c>
      <c r="AU10" s="24">
        <f>'Revenue'!AU10*HOME_DIRECT</f>
        <v/>
      </c>
      <c r="AV10" s="24">
        <f>'Revenue'!AV10*HOME_DIRECT</f>
        <v/>
      </c>
      <c r="AW10" s="24">
        <f>'Revenue'!AW10*HOME_DIRECT</f>
        <v/>
      </c>
      <c r="AX10" s="24">
        <f>'Revenue'!AX10*HOME_DIRECT</f>
        <v/>
      </c>
      <c r="AY10" s="24">
        <f>'Revenue'!AY10*HOME_DIRECT</f>
        <v/>
      </c>
      <c r="AZ10" s="24">
        <f>'Revenue'!AZ10*HOME_DIRECT</f>
        <v/>
      </c>
      <c r="BA10" s="24">
        <f>'Revenue'!BA10*HOME_DIRECT</f>
        <v/>
      </c>
      <c r="BB10" s="24">
        <f>'Revenue'!BB10*HOME_DIRECT</f>
        <v/>
      </c>
      <c r="BC10" s="24">
        <f>'Revenue'!BC10*HOME_DIRECT</f>
        <v/>
      </c>
      <c r="BD10" s="24">
        <f>'Revenue'!BD10*HOME_DIRECT</f>
        <v/>
      </c>
      <c r="BE10" s="24">
        <f>'Revenue'!BE10*HOME_DIRECT</f>
        <v/>
      </c>
      <c r="BF10" s="24">
        <f>'Revenue'!BF10*HOME_DIRECT</f>
        <v/>
      </c>
      <c r="BG10" s="24">
        <f>'Revenue'!BG10*HOME_DIRECT</f>
        <v/>
      </c>
      <c r="BH10" s="24">
        <f>'Revenue'!BH10*HOME_DIRECT</f>
        <v/>
      </c>
      <c r="BI10" s="24">
        <f>'Revenue'!BI10*HOME_DIRECT</f>
        <v/>
      </c>
      <c r="BJ10" s="24">
        <f>'Revenue'!BJ10*HOME_DIRECT</f>
        <v/>
      </c>
      <c r="BK10" s="24">
        <f>'Revenue'!BK10*HOME_DIRECT</f>
        <v/>
      </c>
    </row>
    <row r="11">
      <c r="A11" s="14" t="inlineStr">
        <is>
          <t>Virtual consultations</t>
        </is>
      </c>
      <c r="B11" s="3" t="inlineStr"/>
      <c r="C11" s="2" t="n"/>
      <c r="D11" s="24">
        <f>'Revenue'!D11*CONS_DIRECT</f>
        <v/>
      </c>
      <c r="E11" s="24">
        <f>'Revenue'!E11*CONS_DIRECT</f>
        <v/>
      </c>
      <c r="F11" s="24">
        <f>'Revenue'!F11*CONS_DIRECT</f>
        <v/>
      </c>
      <c r="G11" s="24">
        <f>'Revenue'!G11*CONS_DIRECT</f>
        <v/>
      </c>
      <c r="H11" s="24">
        <f>'Revenue'!H11*CONS_DIRECT</f>
        <v/>
      </c>
      <c r="I11" s="24">
        <f>'Revenue'!I11*CONS_DIRECT</f>
        <v/>
      </c>
      <c r="J11" s="24">
        <f>'Revenue'!J11*CONS_DIRECT</f>
        <v/>
      </c>
      <c r="K11" s="24">
        <f>'Revenue'!K11*CONS_DIRECT</f>
        <v/>
      </c>
      <c r="L11" s="24">
        <f>'Revenue'!L11*CONS_DIRECT</f>
        <v/>
      </c>
      <c r="M11" s="24">
        <f>'Revenue'!M11*CONS_DIRECT</f>
        <v/>
      </c>
      <c r="N11" s="24">
        <f>'Revenue'!N11*CONS_DIRECT</f>
        <v/>
      </c>
      <c r="O11" s="24">
        <f>'Revenue'!O11*CONS_DIRECT</f>
        <v/>
      </c>
      <c r="P11" s="24">
        <f>'Revenue'!P11*CONS_DIRECT</f>
        <v/>
      </c>
      <c r="Q11" s="24">
        <f>'Revenue'!Q11*CONS_DIRECT</f>
        <v/>
      </c>
      <c r="R11" s="24">
        <f>'Revenue'!R11*CONS_DIRECT</f>
        <v/>
      </c>
      <c r="S11" s="24">
        <f>'Revenue'!S11*CONS_DIRECT</f>
        <v/>
      </c>
      <c r="T11" s="24">
        <f>'Revenue'!T11*CONS_DIRECT</f>
        <v/>
      </c>
      <c r="U11" s="24">
        <f>'Revenue'!U11*CONS_DIRECT</f>
        <v/>
      </c>
      <c r="V11" s="24">
        <f>'Revenue'!V11*CONS_DIRECT</f>
        <v/>
      </c>
      <c r="W11" s="24">
        <f>'Revenue'!W11*CONS_DIRECT</f>
        <v/>
      </c>
      <c r="X11" s="24">
        <f>'Revenue'!X11*CONS_DIRECT</f>
        <v/>
      </c>
      <c r="Y11" s="24">
        <f>'Revenue'!Y11*CONS_DIRECT</f>
        <v/>
      </c>
      <c r="Z11" s="24">
        <f>'Revenue'!Z11*CONS_DIRECT</f>
        <v/>
      </c>
      <c r="AA11" s="24">
        <f>'Revenue'!AA11*CONS_DIRECT</f>
        <v/>
      </c>
      <c r="AB11" s="24">
        <f>'Revenue'!AB11*CONS_DIRECT</f>
        <v/>
      </c>
      <c r="AC11" s="24">
        <f>'Revenue'!AC11*CONS_DIRECT</f>
        <v/>
      </c>
      <c r="AD11" s="24">
        <f>'Revenue'!AD11*CONS_DIRECT</f>
        <v/>
      </c>
      <c r="AE11" s="24">
        <f>'Revenue'!AE11*CONS_DIRECT</f>
        <v/>
      </c>
      <c r="AF11" s="24">
        <f>'Revenue'!AF11*CONS_DIRECT</f>
        <v/>
      </c>
      <c r="AG11" s="24">
        <f>'Revenue'!AG11*CONS_DIRECT</f>
        <v/>
      </c>
      <c r="AH11" s="24">
        <f>'Revenue'!AH11*CONS_DIRECT</f>
        <v/>
      </c>
      <c r="AI11" s="24">
        <f>'Revenue'!AI11*CONS_DIRECT</f>
        <v/>
      </c>
      <c r="AJ11" s="24">
        <f>'Revenue'!AJ11*CONS_DIRECT</f>
        <v/>
      </c>
      <c r="AK11" s="24">
        <f>'Revenue'!AK11*CONS_DIRECT</f>
        <v/>
      </c>
      <c r="AL11" s="24">
        <f>'Revenue'!AL11*CONS_DIRECT</f>
        <v/>
      </c>
      <c r="AM11" s="24">
        <f>'Revenue'!AM11*CONS_DIRECT</f>
        <v/>
      </c>
      <c r="AN11" s="24">
        <f>'Revenue'!AN11*CONS_DIRECT</f>
        <v/>
      </c>
      <c r="AO11" s="24">
        <f>'Revenue'!AO11*CONS_DIRECT</f>
        <v/>
      </c>
      <c r="AP11" s="24">
        <f>'Revenue'!AP11*CONS_DIRECT</f>
        <v/>
      </c>
      <c r="AQ11" s="24">
        <f>'Revenue'!AQ11*CONS_DIRECT</f>
        <v/>
      </c>
      <c r="AR11" s="24">
        <f>'Revenue'!AR11*CONS_DIRECT</f>
        <v/>
      </c>
      <c r="AS11" s="24">
        <f>'Revenue'!AS11*CONS_DIRECT</f>
        <v/>
      </c>
      <c r="AT11" s="24">
        <f>'Revenue'!AT11*CONS_DIRECT</f>
        <v/>
      </c>
      <c r="AU11" s="24">
        <f>'Revenue'!AU11*CONS_DIRECT</f>
        <v/>
      </c>
      <c r="AV11" s="24">
        <f>'Revenue'!AV11*CONS_DIRECT</f>
        <v/>
      </c>
      <c r="AW11" s="24">
        <f>'Revenue'!AW11*CONS_DIRECT</f>
        <v/>
      </c>
      <c r="AX11" s="24">
        <f>'Revenue'!AX11*CONS_DIRECT</f>
        <v/>
      </c>
      <c r="AY11" s="24">
        <f>'Revenue'!AY11*CONS_DIRECT</f>
        <v/>
      </c>
      <c r="AZ11" s="24">
        <f>'Revenue'!AZ11*CONS_DIRECT</f>
        <v/>
      </c>
      <c r="BA11" s="24">
        <f>'Revenue'!BA11*CONS_DIRECT</f>
        <v/>
      </c>
      <c r="BB11" s="24">
        <f>'Revenue'!BB11*CONS_DIRECT</f>
        <v/>
      </c>
      <c r="BC11" s="24">
        <f>'Revenue'!BC11*CONS_DIRECT</f>
        <v/>
      </c>
      <c r="BD11" s="24">
        <f>'Revenue'!BD11*CONS_DIRECT</f>
        <v/>
      </c>
      <c r="BE11" s="24">
        <f>'Revenue'!BE11*CONS_DIRECT</f>
        <v/>
      </c>
      <c r="BF11" s="24">
        <f>'Revenue'!BF11*CONS_DIRECT</f>
        <v/>
      </c>
      <c r="BG11" s="24">
        <f>'Revenue'!BG11*CONS_DIRECT</f>
        <v/>
      </c>
      <c r="BH11" s="24">
        <f>'Revenue'!BH11*CONS_DIRECT</f>
        <v/>
      </c>
      <c r="BI11" s="24">
        <f>'Revenue'!BI11*CONS_DIRECT</f>
        <v/>
      </c>
      <c r="BJ11" s="24">
        <f>'Revenue'!BJ11*CONS_DIRECT</f>
        <v/>
      </c>
      <c r="BK11" s="24">
        <f>'Revenue'!BK11*CONS_DIRECT</f>
        <v/>
      </c>
    </row>
    <row r="12">
      <c r="A12" s="14" t="inlineStr">
        <is>
          <t>Post-operative rehabilitation</t>
        </is>
      </c>
      <c r="B12" s="3" t="inlineStr"/>
      <c r="C12" s="2" t="n"/>
      <c r="D12" s="24">
        <f>'Revenue'!D12*REHAB_DIRECT</f>
        <v/>
      </c>
      <c r="E12" s="24">
        <f>'Revenue'!E12*REHAB_DIRECT</f>
        <v/>
      </c>
      <c r="F12" s="24">
        <f>'Revenue'!F12*REHAB_DIRECT</f>
        <v/>
      </c>
      <c r="G12" s="24">
        <f>'Revenue'!G12*REHAB_DIRECT</f>
        <v/>
      </c>
      <c r="H12" s="24">
        <f>'Revenue'!H12*REHAB_DIRECT</f>
        <v/>
      </c>
      <c r="I12" s="24">
        <f>'Revenue'!I12*REHAB_DIRECT</f>
        <v/>
      </c>
      <c r="J12" s="24">
        <f>'Revenue'!J12*REHAB_DIRECT</f>
        <v/>
      </c>
      <c r="K12" s="24">
        <f>'Revenue'!K12*REHAB_DIRECT</f>
        <v/>
      </c>
      <c r="L12" s="24">
        <f>'Revenue'!L12*REHAB_DIRECT</f>
        <v/>
      </c>
      <c r="M12" s="24">
        <f>'Revenue'!M12*REHAB_DIRECT</f>
        <v/>
      </c>
      <c r="N12" s="24">
        <f>'Revenue'!N12*REHAB_DIRECT</f>
        <v/>
      </c>
      <c r="O12" s="24">
        <f>'Revenue'!O12*REHAB_DIRECT</f>
        <v/>
      </c>
      <c r="P12" s="24">
        <f>'Revenue'!P12*REHAB_DIRECT</f>
        <v/>
      </c>
      <c r="Q12" s="24">
        <f>'Revenue'!Q12*REHAB_DIRECT</f>
        <v/>
      </c>
      <c r="R12" s="24">
        <f>'Revenue'!R12*REHAB_DIRECT</f>
        <v/>
      </c>
      <c r="S12" s="24">
        <f>'Revenue'!S12*REHAB_DIRECT</f>
        <v/>
      </c>
      <c r="T12" s="24">
        <f>'Revenue'!T12*REHAB_DIRECT</f>
        <v/>
      </c>
      <c r="U12" s="24">
        <f>'Revenue'!U12*REHAB_DIRECT</f>
        <v/>
      </c>
      <c r="V12" s="24">
        <f>'Revenue'!V12*REHAB_DIRECT</f>
        <v/>
      </c>
      <c r="W12" s="24">
        <f>'Revenue'!W12*REHAB_DIRECT</f>
        <v/>
      </c>
      <c r="X12" s="24">
        <f>'Revenue'!X12*REHAB_DIRECT</f>
        <v/>
      </c>
      <c r="Y12" s="24">
        <f>'Revenue'!Y12*REHAB_DIRECT</f>
        <v/>
      </c>
      <c r="Z12" s="24">
        <f>'Revenue'!Z12*REHAB_DIRECT</f>
        <v/>
      </c>
      <c r="AA12" s="24">
        <f>'Revenue'!AA12*REHAB_DIRECT</f>
        <v/>
      </c>
      <c r="AB12" s="24">
        <f>'Revenue'!AB12*REHAB_DIRECT</f>
        <v/>
      </c>
      <c r="AC12" s="24">
        <f>'Revenue'!AC12*REHAB_DIRECT</f>
        <v/>
      </c>
      <c r="AD12" s="24">
        <f>'Revenue'!AD12*REHAB_DIRECT</f>
        <v/>
      </c>
      <c r="AE12" s="24">
        <f>'Revenue'!AE12*REHAB_DIRECT</f>
        <v/>
      </c>
      <c r="AF12" s="24">
        <f>'Revenue'!AF12*REHAB_DIRECT</f>
        <v/>
      </c>
      <c r="AG12" s="24">
        <f>'Revenue'!AG12*REHAB_DIRECT</f>
        <v/>
      </c>
      <c r="AH12" s="24">
        <f>'Revenue'!AH12*REHAB_DIRECT</f>
        <v/>
      </c>
      <c r="AI12" s="24">
        <f>'Revenue'!AI12*REHAB_DIRECT</f>
        <v/>
      </c>
      <c r="AJ12" s="24">
        <f>'Revenue'!AJ12*REHAB_DIRECT</f>
        <v/>
      </c>
      <c r="AK12" s="24">
        <f>'Revenue'!AK12*REHAB_DIRECT</f>
        <v/>
      </c>
      <c r="AL12" s="24">
        <f>'Revenue'!AL12*REHAB_DIRECT</f>
        <v/>
      </c>
      <c r="AM12" s="24">
        <f>'Revenue'!AM12*REHAB_DIRECT</f>
        <v/>
      </c>
      <c r="AN12" s="24">
        <f>'Revenue'!AN12*REHAB_DIRECT</f>
        <v/>
      </c>
      <c r="AO12" s="24">
        <f>'Revenue'!AO12*REHAB_DIRECT</f>
        <v/>
      </c>
      <c r="AP12" s="24">
        <f>'Revenue'!AP12*REHAB_DIRECT</f>
        <v/>
      </c>
      <c r="AQ12" s="24">
        <f>'Revenue'!AQ12*REHAB_DIRECT</f>
        <v/>
      </c>
      <c r="AR12" s="24">
        <f>'Revenue'!AR12*REHAB_DIRECT</f>
        <v/>
      </c>
      <c r="AS12" s="24">
        <f>'Revenue'!AS12*REHAB_DIRECT</f>
        <v/>
      </c>
      <c r="AT12" s="24">
        <f>'Revenue'!AT12*REHAB_DIRECT</f>
        <v/>
      </c>
      <c r="AU12" s="24">
        <f>'Revenue'!AU12*REHAB_DIRECT</f>
        <v/>
      </c>
      <c r="AV12" s="24">
        <f>'Revenue'!AV12*REHAB_DIRECT</f>
        <v/>
      </c>
      <c r="AW12" s="24">
        <f>'Revenue'!AW12*REHAB_DIRECT</f>
        <v/>
      </c>
      <c r="AX12" s="24">
        <f>'Revenue'!AX12*REHAB_DIRECT</f>
        <v/>
      </c>
      <c r="AY12" s="24">
        <f>'Revenue'!AY12*REHAB_DIRECT</f>
        <v/>
      </c>
      <c r="AZ12" s="24">
        <f>'Revenue'!AZ12*REHAB_DIRECT</f>
        <v/>
      </c>
      <c r="BA12" s="24">
        <f>'Revenue'!BA12*REHAB_DIRECT</f>
        <v/>
      </c>
      <c r="BB12" s="24">
        <f>'Revenue'!BB12*REHAB_DIRECT</f>
        <v/>
      </c>
      <c r="BC12" s="24">
        <f>'Revenue'!BC12*REHAB_DIRECT</f>
        <v/>
      </c>
      <c r="BD12" s="24">
        <f>'Revenue'!BD12*REHAB_DIRECT</f>
        <v/>
      </c>
      <c r="BE12" s="24">
        <f>'Revenue'!BE12*REHAB_DIRECT</f>
        <v/>
      </c>
      <c r="BF12" s="24">
        <f>'Revenue'!BF12*REHAB_DIRECT</f>
        <v/>
      </c>
      <c r="BG12" s="24">
        <f>'Revenue'!BG12*REHAB_DIRECT</f>
        <v/>
      </c>
      <c r="BH12" s="24">
        <f>'Revenue'!BH12*REHAB_DIRECT</f>
        <v/>
      </c>
      <c r="BI12" s="24">
        <f>'Revenue'!BI12*REHAB_DIRECT</f>
        <v/>
      </c>
      <c r="BJ12" s="24">
        <f>'Revenue'!BJ12*REHAB_DIRECT</f>
        <v/>
      </c>
      <c r="BK12" s="24">
        <f>'Revenue'!BK12*REHAB_DIRECT</f>
        <v/>
      </c>
    </row>
    <row r="13">
      <c r="A13" s="14" t="inlineStr">
        <is>
          <t>Palliative care at home</t>
        </is>
      </c>
      <c r="B13" s="3" t="inlineStr"/>
      <c r="C13" s="2" t="n"/>
      <c r="D13" s="24">
        <f>'Revenue'!D13*PALLH_DIRECT</f>
        <v/>
      </c>
      <c r="E13" s="24">
        <f>'Revenue'!E13*PALLH_DIRECT</f>
        <v/>
      </c>
      <c r="F13" s="24">
        <f>'Revenue'!F13*PALLH_DIRECT</f>
        <v/>
      </c>
      <c r="G13" s="24">
        <f>'Revenue'!G13*PALLH_DIRECT</f>
        <v/>
      </c>
      <c r="H13" s="24">
        <f>'Revenue'!H13*PALLH_DIRECT</f>
        <v/>
      </c>
      <c r="I13" s="24">
        <f>'Revenue'!I13*PALLH_DIRECT</f>
        <v/>
      </c>
      <c r="J13" s="24">
        <f>'Revenue'!J13*PALLH_DIRECT</f>
        <v/>
      </c>
      <c r="K13" s="24">
        <f>'Revenue'!K13*PALLH_DIRECT</f>
        <v/>
      </c>
      <c r="L13" s="24">
        <f>'Revenue'!L13*PALLH_DIRECT</f>
        <v/>
      </c>
      <c r="M13" s="24">
        <f>'Revenue'!M13*PALLH_DIRECT</f>
        <v/>
      </c>
      <c r="N13" s="24">
        <f>'Revenue'!N13*PALLH_DIRECT</f>
        <v/>
      </c>
      <c r="O13" s="24">
        <f>'Revenue'!O13*PALLH_DIRECT</f>
        <v/>
      </c>
      <c r="P13" s="24">
        <f>'Revenue'!P13*PALLH_DIRECT</f>
        <v/>
      </c>
      <c r="Q13" s="24">
        <f>'Revenue'!Q13*PALLH_DIRECT</f>
        <v/>
      </c>
      <c r="R13" s="24">
        <f>'Revenue'!R13*PALLH_DIRECT</f>
        <v/>
      </c>
      <c r="S13" s="24">
        <f>'Revenue'!S13*PALLH_DIRECT</f>
        <v/>
      </c>
      <c r="T13" s="24">
        <f>'Revenue'!T13*PALLH_DIRECT</f>
        <v/>
      </c>
      <c r="U13" s="24">
        <f>'Revenue'!U13*PALLH_DIRECT</f>
        <v/>
      </c>
      <c r="V13" s="24">
        <f>'Revenue'!V13*PALLH_DIRECT</f>
        <v/>
      </c>
      <c r="W13" s="24">
        <f>'Revenue'!W13*PALLH_DIRECT</f>
        <v/>
      </c>
      <c r="X13" s="24">
        <f>'Revenue'!X13*PALLH_DIRECT</f>
        <v/>
      </c>
      <c r="Y13" s="24">
        <f>'Revenue'!Y13*PALLH_DIRECT</f>
        <v/>
      </c>
      <c r="Z13" s="24">
        <f>'Revenue'!Z13*PALLH_DIRECT</f>
        <v/>
      </c>
      <c r="AA13" s="24">
        <f>'Revenue'!AA13*PALLH_DIRECT</f>
        <v/>
      </c>
      <c r="AB13" s="24">
        <f>'Revenue'!AB13*PALLH_DIRECT</f>
        <v/>
      </c>
      <c r="AC13" s="24">
        <f>'Revenue'!AC13*PALLH_DIRECT</f>
        <v/>
      </c>
      <c r="AD13" s="24">
        <f>'Revenue'!AD13*PALLH_DIRECT</f>
        <v/>
      </c>
      <c r="AE13" s="24">
        <f>'Revenue'!AE13*PALLH_DIRECT</f>
        <v/>
      </c>
      <c r="AF13" s="24">
        <f>'Revenue'!AF13*PALLH_DIRECT</f>
        <v/>
      </c>
      <c r="AG13" s="24">
        <f>'Revenue'!AG13*PALLH_DIRECT</f>
        <v/>
      </c>
      <c r="AH13" s="24">
        <f>'Revenue'!AH13*PALLH_DIRECT</f>
        <v/>
      </c>
      <c r="AI13" s="24">
        <f>'Revenue'!AI13*PALLH_DIRECT</f>
        <v/>
      </c>
      <c r="AJ13" s="24">
        <f>'Revenue'!AJ13*PALLH_DIRECT</f>
        <v/>
      </c>
      <c r="AK13" s="24">
        <f>'Revenue'!AK13*PALLH_DIRECT</f>
        <v/>
      </c>
      <c r="AL13" s="24">
        <f>'Revenue'!AL13*PALLH_DIRECT</f>
        <v/>
      </c>
      <c r="AM13" s="24">
        <f>'Revenue'!AM13*PALLH_DIRECT</f>
        <v/>
      </c>
      <c r="AN13" s="24">
        <f>'Revenue'!AN13*PALLH_DIRECT</f>
        <v/>
      </c>
      <c r="AO13" s="24">
        <f>'Revenue'!AO13*PALLH_DIRECT</f>
        <v/>
      </c>
      <c r="AP13" s="24">
        <f>'Revenue'!AP13*PALLH_DIRECT</f>
        <v/>
      </c>
      <c r="AQ13" s="24">
        <f>'Revenue'!AQ13*PALLH_DIRECT</f>
        <v/>
      </c>
      <c r="AR13" s="24">
        <f>'Revenue'!AR13*PALLH_DIRECT</f>
        <v/>
      </c>
      <c r="AS13" s="24">
        <f>'Revenue'!AS13*PALLH_DIRECT</f>
        <v/>
      </c>
      <c r="AT13" s="24">
        <f>'Revenue'!AT13*PALLH_DIRECT</f>
        <v/>
      </c>
      <c r="AU13" s="24">
        <f>'Revenue'!AU13*PALLH_DIRECT</f>
        <v/>
      </c>
      <c r="AV13" s="24">
        <f>'Revenue'!AV13*PALLH_DIRECT</f>
        <v/>
      </c>
      <c r="AW13" s="24">
        <f>'Revenue'!AW13*PALLH_DIRECT</f>
        <v/>
      </c>
      <c r="AX13" s="24">
        <f>'Revenue'!AX13*PALLH_DIRECT</f>
        <v/>
      </c>
      <c r="AY13" s="24">
        <f>'Revenue'!AY13*PALLH_DIRECT</f>
        <v/>
      </c>
      <c r="AZ13" s="24">
        <f>'Revenue'!AZ13*PALLH_DIRECT</f>
        <v/>
      </c>
      <c r="BA13" s="24">
        <f>'Revenue'!BA13*PALLH_DIRECT</f>
        <v/>
      </c>
      <c r="BB13" s="24">
        <f>'Revenue'!BB13*PALLH_DIRECT</f>
        <v/>
      </c>
      <c r="BC13" s="24">
        <f>'Revenue'!BC13*PALLH_DIRECT</f>
        <v/>
      </c>
      <c r="BD13" s="24">
        <f>'Revenue'!BD13*PALLH_DIRECT</f>
        <v/>
      </c>
      <c r="BE13" s="24">
        <f>'Revenue'!BE13*PALLH_DIRECT</f>
        <v/>
      </c>
      <c r="BF13" s="24">
        <f>'Revenue'!BF13*PALLH_DIRECT</f>
        <v/>
      </c>
      <c r="BG13" s="24">
        <f>'Revenue'!BG13*PALLH_DIRECT</f>
        <v/>
      </c>
      <c r="BH13" s="24">
        <f>'Revenue'!BH13*PALLH_DIRECT</f>
        <v/>
      </c>
      <c r="BI13" s="24">
        <f>'Revenue'!BI13*PALLH_DIRECT</f>
        <v/>
      </c>
      <c r="BJ13" s="24">
        <f>'Revenue'!BJ13*PALLH_DIRECT</f>
        <v/>
      </c>
      <c r="BK13" s="24">
        <f>'Revenue'!BK13*PALLH_DIRECT</f>
        <v/>
      </c>
    </row>
    <row r="14">
      <c r="A14" s="14" t="inlineStr">
        <is>
          <t>Mortuary consumables per family</t>
        </is>
      </c>
      <c r="B14" s="3" t="inlineStr"/>
      <c r="C14" s="2" t="n"/>
      <c r="D14" s="24">
        <f>'Volumes'!D27*MORT_CASE_COST</f>
        <v/>
      </c>
      <c r="E14" s="24">
        <f>'Volumes'!E27*MORT_CASE_COST</f>
        <v/>
      </c>
      <c r="F14" s="24">
        <f>'Volumes'!F27*MORT_CASE_COST</f>
        <v/>
      </c>
      <c r="G14" s="24">
        <f>'Volumes'!G27*MORT_CASE_COST</f>
        <v/>
      </c>
      <c r="H14" s="24">
        <f>'Volumes'!H27*MORT_CASE_COST</f>
        <v/>
      </c>
      <c r="I14" s="24">
        <f>'Volumes'!I27*MORT_CASE_COST</f>
        <v/>
      </c>
      <c r="J14" s="24">
        <f>'Volumes'!J27*MORT_CASE_COST</f>
        <v/>
      </c>
      <c r="K14" s="24">
        <f>'Volumes'!K27*MORT_CASE_COST</f>
        <v/>
      </c>
      <c r="L14" s="24">
        <f>'Volumes'!L27*MORT_CASE_COST</f>
        <v/>
      </c>
      <c r="M14" s="24">
        <f>'Volumes'!M27*MORT_CASE_COST</f>
        <v/>
      </c>
      <c r="N14" s="24">
        <f>'Volumes'!N27*MORT_CASE_COST</f>
        <v/>
      </c>
      <c r="O14" s="24">
        <f>'Volumes'!O27*MORT_CASE_COST</f>
        <v/>
      </c>
      <c r="P14" s="24">
        <f>'Volumes'!P27*MORT_CASE_COST</f>
        <v/>
      </c>
      <c r="Q14" s="24">
        <f>'Volumes'!Q27*MORT_CASE_COST</f>
        <v/>
      </c>
      <c r="R14" s="24">
        <f>'Volumes'!R27*MORT_CASE_COST</f>
        <v/>
      </c>
      <c r="S14" s="24">
        <f>'Volumes'!S27*MORT_CASE_COST</f>
        <v/>
      </c>
      <c r="T14" s="24">
        <f>'Volumes'!T27*MORT_CASE_COST</f>
        <v/>
      </c>
      <c r="U14" s="24">
        <f>'Volumes'!U27*MORT_CASE_COST</f>
        <v/>
      </c>
      <c r="V14" s="24">
        <f>'Volumes'!V27*MORT_CASE_COST</f>
        <v/>
      </c>
      <c r="W14" s="24">
        <f>'Volumes'!W27*MORT_CASE_COST</f>
        <v/>
      </c>
      <c r="X14" s="24">
        <f>'Volumes'!X27*MORT_CASE_COST</f>
        <v/>
      </c>
      <c r="Y14" s="24">
        <f>'Volumes'!Y27*MORT_CASE_COST</f>
        <v/>
      </c>
      <c r="Z14" s="24">
        <f>'Volumes'!Z27*MORT_CASE_COST</f>
        <v/>
      </c>
      <c r="AA14" s="24">
        <f>'Volumes'!AA27*MORT_CASE_COST</f>
        <v/>
      </c>
      <c r="AB14" s="24">
        <f>'Volumes'!AB27*MORT_CASE_COST</f>
        <v/>
      </c>
      <c r="AC14" s="24">
        <f>'Volumes'!AC27*MORT_CASE_COST</f>
        <v/>
      </c>
      <c r="AD14" s="24">
        <f>'Volumes'!AD27*MORT_CASE_COST</f>
        <v/>
      </c>
      <c r="AE14" s="24">
        <f>'Volumes'!AE27*MORT_CASE_COST</f>
        <v/>
      </c>
      <c r="AF14" s="24">
        <f>'Volumes'!AF27*MORT_CASE_COST</f>
        <v/>
      </c>
      <c r="AG14" s="24">
        <f>'Volumes'!AG27*MORT_CASE_COST</f>
        <v/>
      </c>
      <c r="AH14" s="24">
        <f>'Volumes'!AH27*MORT_CASE_COST</f>
        <v/>
      </c>
      <c r="AI14" s="24">
        <f>'Volumes'!AI27*MORT_CASE_COST</f>
        <v/>
      </c>
      <c r="AJ14" s="24">
        <f>'Volumes'!AJ27*MORT_CASE_COST</f>
        <v/>
      </c>
      <c r="AK14" s="24">
        <f>'Volumes'!AK27*MORT_CASE_COST</f>
        <v/>
      </c>
      <c r="AL14" s="24">
        <f>'Volumes'!AL27*MORT_CASE_COST</f>
        <v/>
      </c>
      <c r="AM14" s="24">
        <f>'Volumes'!AM27*MORT_CASE_COST</f>
        <v/>
      </c>
      <c r="AN14" s="24">
        <f>'Volumes'!AN27*MORT_CASE_COST</f>
        <v/>
      </c>
      <c r="AO14" s="24">
        <f>'Volumes'!AO27*MORT_CASE_COST</f>
        <v/>
      </c>
      <c r="AP14" s="24">
        <f>'Volumes'!AP27*MORT_CASE_COST</f>
        <v/>
      </c>
      <c r="AQ14" s="24">
        <f>'Volumes'!AQ27*MORT_CASE_COST</f>
        <v/>
      </c>
      <c r="AR14" s="24">
        <f>'Volumes'!AR27*MORT_CASE_COST</f>
        <v/>
      </c>
      <c r="AS14" s="24">
        <f>'Volumes'!AS27*MORT_CASE_COST</f>
        <v/>
      </c>
      <c r="AT14" s="24">
        <f>'Volumes'!AT27*MORT_CASE_COST</f>
        <v/>
      </c>
      <c r="AU14" s="24">
        <f>'Volumes'!AU27*MORT_CASE_COST</f>
        <v/>
      </c>
      <c r="AV14" s="24">
        <f>'Volumes'!AV27*MORT_CASE_COST</f>
        <v/>
      </c>
      <c r="AW14" s="24">
        <f>'Volumes'!AW27*MORT_CASE_COST</f>
        <v/>
      </c>
      <c r="AX14" s="24">
        <f>'Volumes'!AX27*MORT_CASE_COST</f>
        <v/>
      </c>
      <c r="AY14" s="24">
        <f>'Volumes'!AY27*MORT_CASE_COST</f>
        <v/>
      </c>
      <c r="AZ14" s="24">
        <f>'Volumes'!AZ27*MORT_CASE_COST</f>
        <v/>
      </c>
      <c r="BA14" s="24">
        <f>'Volumes'!BA27*MORT_CASE_COST</f>
        <v/>
      </c>
      <c r="BB14" s="24">
        <f>'Volumes'!BB27*MORT_CASE_COST</f>
        <v/>
      </c>
      <c r="BC14" s="24">
        <f>'Volumes'!BC27*MORT_CASE_COST</f>
        <v/>
      </c>
      <c r="BD14" s="24">
        <f>'Volumes'!BD27*MORT_CASE_COST</f>
        <v/>
      </c>
      <c r="BE14" s="24">
        <f>'Volumes'!BE27*MORT_CASE_COST</f>
        <v/>
      </c>
      <c r="BF14" s="24">
        <f>'Volumes'!BF27*MORT_CASE_COST</f>
        <v/>
      </c>
      <c r="BG14" s="24">
        <f>'Volumes'!BG27*MORT_CASE_COST</f>
        <v/>
      </c>
      <c r="BH14" s="24">
        <f>'Volumes'!BH27*MORT_CASE_COST</f>
        <v/>
      </c>
      <c r="BI14" s="24">
        <f>'Volumes'!BI27*MORT_CASE_COST</f>
        <v/>
      </c>
      <c r="BJ14" s="24">
        <f>'Volumes'!BJ27*MORT_CASE_COST</f>
        <v/>
      </c>
      <c r="BK14" s="24">
        <f>'Volumes'!BK27*MORT_CASE_COST</f>
        <v/>
      </c>
    </row>
    <row r="15">
      <c r="A15" s="14" t="inlineStr">
        <is>
          <t>Repatriation</t>
        </is>
      </c>
      <c r="B15" s="3" t="inlineStr"/>
      <c r="C15" s="2" t="n"/>
      <c r="D15" s="24">
        <f>'Volumes'!D28*REPAT_FEE*REPAT_DIRECT</f>
        <v/>
      </c>
      <c r="E15" s="24">
        <f>'Volumes'!E28*REPAT_FEE*REPAT_DIRECT</f>
        <v/>
      </c>
      <c r="F15" s="24">
        <f>'Volumes'!F28*REPAT_FEE*REPAT_DIRECT</f>
        <v/>
      </c>
      <c r="G15" s="24">
        <f>'Volumes'!G28*REPAT_FEE*REPAT_DIRECT</f>
        <v/>
      </c>
      <c r="H15" s="24">
        <f>'Volumes'!H28*REPAT_FEE*REPAT_DIRECT</f>
        <v/>
      </c>
      <c r="I15" s="24">
        <f>'Volumes'!I28*REPAT_FEE*REPAT_DIRECT</f>
        <v/>
      </c>
      <c r="J15" s="24">
        <f>'Volumes'!J28*REPAT_FEE*REPAT_DIRECT</f>
        <v/>
      </c>
      <c r="K15" s="24">
        <f>'Volumes'!K28*REPAT_FEE*REPAT_DIRECT</f>
        <v/>
      </c>
      <c r="L15" s="24">
        <f>'Volumes'!L28*REPAT_FEE*REPAT_DIRECT</f>
        <v/>
      </c>
      <c r="M15" s="24">
        <f>'Volumes'!M28*REPAT_FEE*REPAT_DIRECT</f>
        <v/>
      </c>
      <c r="N15" s="24">
        <f>'Volumes'!N28*REPAT_FEE*REPAT_DIRECT</f>
        <v/>
      </c>
      <c r="O15" s="24">
        <f>'Volumes'!O28*REPAT_FEE*REPAT_DIRECT</f>
        <v/>
      </c>
      <c r="P15" s="24">
        <f>'Volumes'!P28*REPAT_FEE*REPAT_DIRECT</f>
        <v/>
      </c>
      <c r="Q15" s="24">
        <f>'Volumes'!Q28*REPAT_FEE*REPAT_DIRECT</f>
        <v/>
      </c>
      <c r="R15" s="24">
        <f>'Volumes'!R28*REPAT_FEE*REPAT_DIRECT</f>
        <v/>
      </c>
      <c r="S15" s="24">
        <f>'Volumes'!S28*REPAT_FEE*REPAT_DIRECT</f>
        <v/>
      </c>
      <c r="T15" s="24">
        <f>'Volumes'!T28*REPAT_FEE*REPAT_DIRECT</f>
        <v/>
      </c>
      <c r="U15" s="24">
        <f>'Volumes'!U28*REPAT_FEE*REPAT_DIRECT</f>
        <v/>
      </c>
      <c r="V15" s="24">
        <f>'Volumes'!V28*REPAT_FEE*REPAT_DIRECT</f>
        <v/>
      </c>
      <c r="W15" s="24">
        <f>'Volumes'!W28*REPAT_FEE*REPAT_DIRECT</f>
        <v/>
      </c>
      <c r="X15" s="24">
        <f>'Volumes'!X28*REPAT_FEE*REPAT_DIRECT</f>
        <v/>
      </c>
      <c r="Y15" s="24">
        <f>'Volumes'!Y28*REPAT_FEE*REPAT_DIRECT</f>
        <v/>
      </c>
      <c r="Z15" s="24">
        <f>'Volumes'!Z28*REPAT_FEE*REPAT_DIRECT</f>
        <v/>
      </c>
      <c r="AA15" s="24">
        <f>'Volumes'!AA28*REPAT_FEE*REPAT_DIRECT</f>
        <v/>
      </c>
      <c r="AB15" s="24">
        <f>'Volumes'!AB28*REPAT_FEE*REPAT_DIRECT</f>
        <v/>
      </c>
      <c r="AC15" s="24">
        <f>'Volumes'!AC28*REPAT_FEE*REPAT_DIRECT</f>
        <v/>
      </c>
      <c r="AD15" s="24">
        <f>'Volumes'!AD28*REPAT_FEE*REPAT_DIRECT</f>
        <v/>
      </c>
      <c r="AE15" s="24">
        <f>'Volumes'!AE28*REPAT_FEE*REPAT_DIRECT</f>
        <v/>
      </c>
      <c r="AF15" s="24">
        <f>'Volumes'!AF28*REPAT_FEE*REPAT_DIRECT</f>
        <v/>
      </c>
      <c r="AG15" s="24">
        <f>'Volumes'!AG28*REPAT_FEE*REPAT_DIRECT</f>
        <v/>
      </c>
      <c r="AH15" s="24">
        <f>'Volumes'!AH28*REPAT_FEE*REPAT_DIRECT</f>
        <v/>
      </c>
      <c r="AI15" s="24">
        <f>'Volumes'!AI28*REPAT_FEE*REPAT_DIRECT</f>
        <v/>
      </c>
      <c r="AJ15" s="24">
        <f>'Volumes'!AJ28*REPAT_FEE*REPAT_DIRECT</f>
        <v/>
      </c>
      <c r="AK15" s="24">
        <f>'Volumes'!AK28*REPAT_FEE*REPAT_DIRECT</f>
        <v/>
      </c>
      <c r="AL15" s="24">
        <f>'Volumes'!AL28*REPAT_FEE*REPAT_DIRECT</f>
        <v/>
      </c>
      <c r="AM15" s="24">
        <f>'Volumes'!AM28*REPAT_FEE*REPAT_DIRECT</f>
        <v/>
      </c>
      <c r="AN15" s="24">
        <f>'Volumes'!AN28*REPAT_FEE*REPAT_DIRECT</f>
        <v/>
      </c>
      <c r="AO15" s="24">
        <f>'Volumes'!AO28*REPAT_FEE*REPAT_DIRECT</f>
        <v/>
      </c>
      <c r="AP15" s="24">
        <f>'Volumes'!AP28*REPAT_FEE*REPAT_DIRECT</f>
        <v/>
      </c>
      <c r="AQ15" s="24">
        <f>'Volumes'!AQ28*REPAT_FEE*REPAT_DIRECT</f>
        <v/>
      </c>
      <c r="AR15" s="24">
        <f>'Volumes'!AR28*REPAT_FEE*REPAT_DIRECT</f>
        <v/>
      </c>
      <c r="AS15" s="24">
        <f>'Volumes'!AS28*REPAT_FEE*REPAT_DIRECT</f>
        <v/>
      </c>
      <c r="AT15" s="24">
        <f>'Volumes'!AT28*REPAT_FEE*REPAT_DIRECT</f>
        <v/>
      </c>
      <c r="AU15" s="24">
        <f>'Volumes'!AU28*REPAT_FEE*REPAT_DIRECT</f>
        <v/>
      </c>
      <c r="AV15" s="24">
        <f>'Volumes'!AV28*REPAT_FEE*REPAT_DIRECT</f>
        <v/>
      </c>
      <c r="AW15" s="24">
        <f>'Volumes'!AW28*REPAT_FEE*REPAT_DIRECT</f>
        <v/>
      </c>
      <c r="AX15" s="24">
        <f>'Volumes'!AX28*REPAT_FEE*REPAT_DIRECT</f>
        <v/>
      </c>
      <c r="AY15" s="24">
        <f>'Volumes'!AY28*REPAT_FEE*REPAT_DIRECT</f>
        <v/>
      </c>
      <c r="AZ15" s="24">
        <f>'Volumes'!AZ28*REPAT_FEE*REPAT_DIRECT</f>
        <v/>
      </c>
      <c r="BA15" s="24">
        <f>'Volumes'!BA28*REPAT_FEE*REPAT_DIRECT</f>
        <v/>
      </c>
      <c r="BB15" s="24">
        <f>'Volumes'!BB28*REPAT_FEE*REPAT_DIRECT</f>
        <v/>
      </c>
      <c r="BC15" s="24">
        <f>'Volumes'!BC28*REPAT_FEE*REPAT_DIRECT</f>
        <v/>
      </c>
      <c r="BD15" s="24">
        <f>'Volumes'!BD28*REPAT_FEE*REPAT_DIRECT</f>
        <v/>
      </c>
      <c r="BE15" s="24">
        <f>'Volumes'!BE28*REPAT_FEE*REPAT_DIRECT</f>
        <v/>
      </c>
      <c r="BF15" s="24">
        <f>'Volumes'!BF28*REPAT_FEE*REPAT_DIRECT</f>
        <v/>
      </c>
      <c r="BG15" s="24">
        <f>'Volumes'!BG28*REPAT_FEE*REPAT_DIRECT</f>
        <v/>
      </c>
      <c r="BH15" s="24">
        <f>'Volumes'!BH28*REPAT_FEE*REPAT_DIRECT</f>
        <v/>
      </c>
      <c r="BI15" s="24">
        <f>'Volumes'!BI28*REPAT_FEE*REPAT_DIRECT</f>
        <v/>
      </c>
      <c r="BJ15" s="24">
        <f>'Volumes'!BJ28*REPAT_FEE*REPAT_DIRECT</f>
        <v/>
      </c>
      <c r="BK15" s="24">
        <f>'Volumes'!BK28*REPAT_FEE*REPAT_DIRECT</f>
        <v/>
      </c>
    </row>
    <row r="16">
      <c r="A16" s="14" t="inlineStr">
        <is>
          <t>Autopsy and pathology</t>
        </is>
      </c>
      <c r="B16" s="3" t="inlineStr"/>
      <c r="C16" s="2" t="n"/>
      <c r="D16" s="24">
        <f>'Revenue'!D25*AUT_DIRECT</f>
        <v/>
      </c>
      <c r="E16" s="24">
        <f>'Revenue'!E25*AUT_DIRECT</f>
        <v/>
      </c>
      <c r="F16" s="24">
        <f>'Revenue'!F25*AUT_DIRECT</f>
        <v/>
      </c>
      <c r="G16" s="24">
        <f>'Revenue'!G25*AUT_DIRECT</f>
        <v/>
      </c>
      <c r="H16" s="24">
        <f>'Revenue'!H25*AUT_DIRECT</f>
        <v/>
      </c>
      <c r="I16" s="24">
        <f>'Revenue'!I25*AUT_DIRECT</f>
        <v/>
      </c>
      <c r="J16" s="24">
        <f>'Revenue'!J25*AUT_DIRECT</f>
        <v/>
      </c>
      <c r="K16" s="24">
        <f>'Revenue'!K25*AUT_DIRECT</f>
        <v/>
      </c>
      <c r="L16" s="24">
        <f>'Revenue'!L25*AUT_DIRECT</f>
        <v/>
      </c>
      <c r="M16" s="24">
        <f>'Revenue'!M25*AUT_DIRECT</f>
        <v/>
      </c>
      <c r="N16" s="24">
        <f>'Revenue'!N25*AUT_DIRECT</f>
        <v/>
      </c>
      <c r="O16" s="24">
        <f>'Revenue'!O25*AUT_DIRECT</f>
        <v/>
      </c>
      <c r="P16" s="24">
        <f>'Revenue'!P25*AUT_DIRECT</f>
        <v/>
      </c>
      <c r="Q16" s="24">
        <f>'Revenue'!Q25*AUT_DIRECT</f>
        <v/>
      </c>
      <c r="R16" s="24">
        <f>'Revenue'!R25*AUT_DIRECT</f>
        <v/>
      </c>
      <c r="S16" s="24">
        <f>'Revenue'!S25*AUT_DIRECT</f>
        <v/>
      </c>
      <c r="T16" s="24">
        <f>'Revenue'!T25*AUT_DIRECT</f>
        <v/>
      </c>
      <c r="U16" s="24">
        <f>'Revenue'!U25*AUT_DIRECT</f>
        <v/>
      </c>
      <c r="V16" s="24">
        <f>'Revenue'!V25*AUT_DIRECT</f>
        <v/>
      </c>
      <c r="W16" s="24">
        <f>'Revenue'!W25*AUT_DIRECT</f>
        <v/>
      </c>
      <c r="X16" s="24">
        <f>'Revenue'!X25*AUT_DIRECT</f>
        <v/>
      </c>
      <c r="Y16" s="24">
        <f>'Revenue'!Y25*AUT_DIRECT</f>
        <v/>
      </c>
      <c r="Z16" s="24">
        <f>'Revenue'!Z25*AUT_DIRECT</f>
        <v/>
      </c>
      <c r="AA16" s="24">
        <f>'Revenue'!AA25*AUT_DIRECT</f>
        <v/>
      </c>
      <c r="AB16" s="24">
        <f>'Revenue'!AB25*AUT_DIRECT</f>
        <v/>
      </c>
      <c r="AC16" s="24">
        <f>'Revenue'!AC25*AUT_DIRECT</f>
        <v/>
      </c>
      <c r="AD16" s="24">
        <f>'Revenue'!AD25*AUT_DIRECT</f>
        <v/>
      </c>
      <c r="AE16" s="24">
        <f>'Revenue'!AE25*AUT_DIRECT</f>
        <v/>
      </c>
      <c r="AF16" s="24">
        <f>'Revenue'!AF25*AUT_DIRECT</f>
        <v/>
      </c>
      <c r="AG16" s="24">
        <f>'Revenue'!AG25*AUT_DIRECT</f>
        <v/>
      </c>
      <c r="AH16" s="24">
        <f>'Revenue'!AH25*AUT_DIRECT</f>
        <v/>
      </c>
      <c r="AI16" s="24">
        <f>'Revenue'!AI25*AUT_DIRECT</f>
        <v/>
      </c>
      <c r="AJ16" s="24">
        <f>'Revenue'!AJ25*AUT_DIRECT</f>
        <v/>
      </c>
      <c r="AK16" s="24">
        <f>'Revenue'!AK25*AUT_DIRECT</f>
        <v/>
      </c>
      <c r="AL16" s="24">
        <f>'Revenue'!AL25*AUT_DIRECT</f>
        <v/>
      </c>
      <c r="AM16" s="24">
        <f>'Revenue'!AM25*AUT_DIRECT</f>
        <v/>
      </c>
      <c r="AN16" s="24">
        <f>'Revenue'!AN25*AUT_DIRECT</f>
        <v/>
      </c>
      <c r="AO16" s="24">
        <f>'Revenue'!AO25*AUT_DIRECT</f>
        <v/>
      </c>
      <c r="AP16" s="24">
        <f>'Revenue'!AP25*AUT_DIRECT</f>
        <v/>
      </c>
      <c r="AQ16" s="24">
        <f>'Revenue'!AQ25*AUT_DIRECT</f>
        <v/>
      </c>
      <c r="AR16" s="24">
        <f>'Revenue'!AR25*AUT_DIRECT</f>
        <v/>
      </c>
      <c r="AS16" s="24">
        <f>'Revenue'!AS25*AUT_DIRECT</f>
        <v/>
      </c>
      <c r="AT16" s="24">
        <f>'Revenue'!AT25*AUT_DIRECT</f>
        <v/>
      </c>
      <c r="AU16" s="24">
        <f>'Revenue'!AU25*AUT_DIRECT</f>
        <v/>
      </c>
      <c r="AV16" s="24">
        <f>'Revenue'!AV25*AUT_DIRECT</f>
        <v/>
      </c>
      <c r="AW16" s="24">
        <f>'Revenue'!AW25*AUT_DIRECT</f>
        <v/>
      </c>
      <c r="AX16" s="24">
        <f>'Revenue'!AX25*AUT_DIRECT</f>
        <v/>
      </c>
      <c r="AY16" s="24">
        <f>'Revenue'!AY25*AUT_DIRECT</f>
        <v/>
      </c>
      <c r="AZ16" s="24">
        <f>'Revenue'!AZ25*AUT_DIRECT</f>
        <v/>
      </c>
      <c r="BA16" s="24">
        <f>'Revenue'!BA25*AUT_DIRECT</f>
        <v/>
      </c>
      <c r="BB16" s="24">
        <f>'Revenue'!BB25*AUT_DIRECT</f>
        <v/>
      </c>
      <c r="BC16" s="24">
        <f>'Revenue'!BC25*AUT_DIRECT</f>
        <v/>
      </c>
      <c r="BD16" s="24">
        <f>'Revenue'!BD25*AUT_DIRECT</f>
        <v/>
      </c>
      <c r="BE16" s="24">
        <f>'Revenue'!BE25*AUT_DIRECT</f>
        <v/>
      </c>
      <c r="BF16" s="24">
        <f>'Revenue'!BF25*AUT_DIRECT</f>
        <v/>
      </c>
      <c r="BG16" s="24">
        <f>'Revenue'!BG25*AUT_DIRECT</f>
        <v/>
      </c>
      <c r="BH16" s="24">
        <f>'Revenue'!BH25*AUT_DIRECT</f>
        <v/>
      </c>
      <c r="BI16" s="24">
        <f>'Revenue'!BI25*AUT_DIRECT</f>
        <v/>
      </c>
      <c r="BJ16" s="24">
        <f>'Revenue'!BJ25*AUT_DIRECT</f>
        <v/>
      </c>
      <c r="BK16" s="24">
        <f>'Revenue'!BK25*AUT_DIRECT</f>
        <v/>
      </c>
    </row>
    <row r="17">
      <c r="A17" s="14" t="inlineStr">
        <is>
          <t>Software hosting and support</t>
        </is>
      </c>
      <c r="B17" s="3" t="inlineStr"/>
      <c r="C17" s="2" t="n"/>
      <c r="D17" s="24">
        <f>'Revenue'!D29*SAAS_DIRECT</f>
        <v/>
      </c>
      <c r="E17" s="24">
        <f>'Revenue'!E29*SAAS_DIRECT</f>
        <v/>
      </c>
      <c r="F17" s="24">
        <f>'Revenue'!F29*SAAS_DIRECT</f>
        <v/>
      </c>
      <c r="G17" s="24">
        <f>'Revenue'!G29*SAAS_DIRECT</f>
        <v/>
      </c>
      <c r="H17" s="24">
        <f>'Revenue'!H29*SAAS_DIRECT</f>
        <v/>
      </c>
      <c r="I17" s="24">
        <f>'Revenue'!I29*SAAS_DIRECT</f>
        <v/>
      </c>
      <c r="J17" s="24">
        <f>'Revenue'!J29*SAAS_DIRECT</f>
        <v/>
      </c>
      <c r="K17" s="24">
        <f>'Revenue'!K29*SAAS_DIRECT</f>
        <v/>
      </c>
      <c r="L17" s="24">
        <f>'Revenue'!L29*SAAS_DIRECT</f>
        <v/>
      </c>
      <c r="M17" s="24">
        <f>'Revenue'!M29*SAAS_DIRECT</f>
        <v/>
      </c>
      <c r="N17" s="24">
        <f>'Revenue'!N29*SAAS_DIRECT</f>
        <v/>
      </c>
      <c r="O17" s="24">
        <f>'Revenue'!O29*SAAS_DIRECT</f>
        <v/>
      </c>
      <c r="P17" s="24">
        <f>'Revenue'!P29*SAAS_DIRECT</f>
        <v/>
      </c>
      <c r="Q17" s="24">
        <f>'Revenue'!Q29*SAAS_DIRECT</f>
        <v/>
      </c>
      <c r="R17" s="24">
        <f>'Revenue'!R29*SAAS_DIRECT</f>
        <v/>
      </c>
      <c r="S17" s="24">
        <f>'Revenue'!S29*SAAS_DIRECT</f>
        <v/>
      </c>
      <c r="T17" s="24">
        <f>'Revenue'!T29*SAAS_DIRECT</f>
        <v/>
      </c>
      <c r="U17" s="24">
        <f>'Revenue'!U29*SAAS_DIRECT</f>
        <v/>
      </c>
      <c r="V17" s="24">
        <f>'Revenue'!V29*SAAS_DIRECT</f>
        <v/>
      </c>
      <c r="W17" s="24">
        <f>'Revenue'!W29*SAAS_DIRECT</f>
        <v/>
      </c>
      <c r="X17" s="24">
        <f>'Revenue'!X29*SAAS_DIRECT</f>
        <v/>
      </c>
      <c r="Y17" s="24">
        <f>'Revenue'!Y29*SAAS_DIRECT</f>
        <v/>
      </c>
      <c r="Z17" s="24">
        <f>'Revenue'!Z29*SAAS_DIRECT</f>
        <v/>
      </c>
      <c r="AA17" s="24">
        <f>'Revenue'!AA29*SAAS_DIRECT</f>
        <v/>
      </c>
      <c r="AB17" s="24">
        <f>'Revenue'!AB29*SAAS_DIRECT</f>
        <v/>
      </c>
      <c r="AC17" s="24">
        <f>'Revenue'!AC29*SAAS_DIRECT</f>
        <v/>
      </c>
      <c r="AD17" s="24">
        <f>'Revenue'!AD29*SAAS_DIRECT</f>
        <v/>
      </c>
      <c r="AE17" s="24">
        <f>'Revenue'!AE29*SAAS_DIRECT</f>
        <v/>
      </c>
      <c r="AF17" s="24">
        <f>'Revenue'!AF29*SAAS_DIRECT</f>
        <v/>
      </c>
      <c r="AG17" s="24">
        <f>'Revenue'!AG29*SAAS_DIRECT</f>
        <v/>
      </c>
      <c r="AH17" s="24">
        <f>'Revenue'!AH29*SAAS_DIRECT</f>
        <v/>
      </c>
      <c r="AI17" s="24">
        <f>'Revenue'!AI29*SAAS_DIRECT</f>
        <v/>
      </c>
      <c r="AJ17" s="24">
        <f>'Revenue'!AJ29*SAAS_DIRECT</f>
        <v/>
      </c>
      <c r="AK17" s="24">
        <f>'Revenue'!AK29*SAAS_DIRECT</f>
        <v/>
      </c>
      <c r="AL17" s="24">
        <f>'Revenue'!AL29*SAAS_DIRECT</f>
        <v/>
      </c>
      <c r="AM17" s="24">
        <f>'Revenue'!AM29*SAAS_DIRECT</f>
        <v/>
      </c>
      <c r="AN17" s="24">
        <f>'Revenue'!AN29*SAAS_DIRECT</f>
        <v/>
      </c>
      <c r="AO17" s="24">
        <f>'Revenue'!AO29*SAAS_DIRECT</f>
        <v/>
      </c>
      <c r="AP17" s="24">
        <f>'Revenue'!AP29*SAAS_DIRECT</f>
        <v/>
      </c>
      <c r="AQ17" s="24">
        <f>'Revenue'!AQ29*SAAS_DIRECT</f>
        <v/>
      </c>
      <c r="AR17" s="24">
        <f>'Revenue'!AR29*SAAS_DIRECT</f>
        <v/>
      </c>
      <c r="AS17" s="24">
        <f>'Revenue'!AS29*SAAS_DIRECT</f>
        <v/>
      </c>
      <c r="AT17" s="24">
        <f>'Revenue'!AT29*SAAS_DIRECT</f>
        <v/>
      </c>
      <c r="AU17" s="24">
        <f>'Revenue'!AU29*SAAS_DIRECT</f>
        <v/>
      </c>
      <c r="AV17" s="24">
        <f>'Revenue'!AV29*SAAS_DIRECT</f>
        <v/>
      </c>
      <c r="AW17" s="24">
        <f>'Revenue'!AW29*SAAS_DIRECT</f>
        <v/>
      </c>
      <c r="AX17" s="24">
        <f>'Revenue'!AX29*SAAS_DIRECT</f>
        <v/>
      </c>
      <c r="AY17" s="24">
        <f>'Revenue'!AY29*SAAS_DIRECT</f>
        <v/>
      </c>
      <c r="AZ17" s="24">
        <f>'Revenue'!AZ29*SAAS_DIRECT</f>
        <v/>
      </c>
      <c r="BA17" s="24">
        <f>'Revenue'!BA29*SAAS_DIRECT</f>
        <v/>
      </c>
      <c r="BB17" s="24">
        <f>'Revenue'!BB29*SAAS_DIRECT</f>
        <v/>
      </c>
      <c r="BC17" s="24">
        <f>'Revenue'!BC29*SAAS_DIRECT</f>
        <v/>
      </c>
      <c r="BD17" s="24">
        <f>'Revenue'!BD29*SAAS_DIRECT</f>
        <v/>
      </c>
      <c r="BE17" s="24">
        <f>'Revenue'!BE29*SAAS_DIRECT</f>
        <v/>
      </c>
      <c r="BF17" s="24">
        <f>'Revenue'!BF29*SAAS_DIRECT</f>
        <v/>
      </c>
      <c r="BG17" s="24">
        <f>'Revenue'!BG29*SAAS_DIRECT</f>
        <v/>
      </c>
      <c r="BH17" s="24">
        <f>'Revenue'!BH29*SAAS_DIRECT</f>
        <v/>
      </c>
      <c r="BI17" s="24">
        <f>'Revenue'!BI29*SAAS_DIRECT</f>
        <v/>
      </c>
      <c r="BJ17" s="24">
        <f>'Revenue'!BJ29*SAAS_DIRECT</f>
        <v/>
      </c>
      <c r="BK17" s="24">
        <f>'Revenue'!BK29*SAAS_DIRECT</f>
        <v/>
      </c>
    </row>
    <row r="18">
      <c r="A18" s="30" t="inlineStr">
        <is>
          <t>Direct costs</t>
        </is>
      </c>
      <c r="B18" s="3" t="inlineStr"/>
      <c r="C18" s="2" t="n"/>
      <c r="D18" s="33">
        <f>SUM(D9:D17)</f>
        <v/>
      </c>
      <c r="E18" s="33">
        <f>SUM(E9:E17)</f>
        <v/>
      </c>
      <c r="F18" s="33">
        <f>SUM(F9:F17)</f>
        <v/>
      </c>
      <c r="G18" s="33">
        <f>SUM(G9:G17)</f>
        <v/>
      </c>
      <c r="H18" s="33">
        <f>SUM(H9:H17)</f>
        <v/>
      </c>
      <c r="I18" s="33">
        <f>SUM(I9:I17)</f>
        <v/>
      </c>
      <c r="J18" s="33">
        <f>SUM(J9:J17)</f>
        <v/>
      </c>
      <c r="K18" s="33">
        <f>SUM(K9:K17)</f>
        <v/>
      </c>
      <c r="L18" s="33">
        <f>SUM(L9:L17)</f>
        <v/>
      </c>
      <c r="M18" s="33">
        <f>SUM(M9:M17)</f>
        <v/>
      </c>
      <c r="N18" s="33">
        <f>SUM(N9:N17)</f>
        <v/>
      </c>
      <c r="O18" s="33">
        <f>SUM(O9:O17)</f>
        <v/>
      </c>
      <c r="P18" s="33">
        <f>SUM(P9:P17)</f>
        <v/>
      </c>
      <c r="Q18" s="33">
        <f>SUM(Q9:Q17)</f>
        <v/>
      </c>
      <c r="R18" s="33">
        <f>SUM(R9:R17)</f>
        <v/>
      </c>
      <c r="S18" s="33">
        <f>SUM(S9:S17)</f>
        <v/>
      </c>
      <c r="T18" s="33">
        <f>SUM(T9:T17)</f>
        <v/>
      </c>
      <c r="U18" s="33">
        <f>SUM(U9:U17)</f>
        <v/>
      </c>
      <c r="V18" s="33">
        <f>SUM(V9:V17)</f>
        <v/>
      </c>
      <c r="W18" s="33">
        <f>SUM(W9:W17)</f>
        <v/>
      </c>
      <c r="X18" s="33">
        <f>SUM(X9:X17)</f>
        <v/>
      </c>
      <c r="Y18" s="33">
        <f>SUM(Y9:Y17)</f>
        <v/>
      </c>
      <c r="Z18" s="33">
        <f>SUM(Z9:Z17)</f>
        <v/>
      </c>
      <c r="AA18" s="33">
        <f>SUM(AA9:AA17)</f>
        <v/>
      </c>
      <c r="AB18" s="33">
        <f>SUM(AB9:AB17)</f>
        <v/>
      </c>
      <c r="AC18" s="33">
        <f>SUM(AC9:AC17)</f>
        <v/>
      </c>
      <c r="AD18" s="33">
        <f>SUM(AD9:AD17)</f>
        <v/>
      </c>
      <c r="AE18" s="33">
        <f>SUM(AE9:AE17)</f>
        <v/>
      </c>
      <c r="AF18" s="33">
        <f>SUM(AF9:AF17)</f>
        <v/>
      </c>
      <c r="AG18" s="33">
        <f>SUM(AG9:AG17)</f>
        <v/>
      </c>
      <c r="AH18" s="33">
        <f>SUM(AH9:AH17)</f>
        <v/>
      </c>
      <c r="AI18" s="33">
        <f>SUM(AI9:AI17)</f>
        <v/>
      </c>
      <c r="AJ18" s="33">
        <f>SUM(AJ9:AJ17)</f>
        <v/>
      </c>
      <c r="AK18" s="33">
        <f>SUM(AK9:AK17)</f>
        <v/>
      </c>
      <c r="AL18" s="33">
        <f>SUM(AL9:AL17)</f>
        <v/>
      </c>
      <c r="AM18" s="33">
        <f>SUM(AM9:AM17)</f>
        <v/>
      </c>
      <c r="AN18" s="33">
        <f>SUM(AN9:AN17)</f>
        <v/>
      </c>
      <c r="AO18" s="33">
        <f>SUM(AO9:AO17)</f>
        <v/>
      </c>
      <c r="AP18" s="33">
        <f>SUM(AP9:AP17)</f>
        <v/>
      </c>
      <c r="AQ18" s="33">
        <f>SUM(AQ9:AQ17)</f>
        <v/>
      </c>
      <c r="AR18" s="33">
        <f>SUM(AR9:AR17)</f>
        <v/>
      </c>
      <c r="AS18" s="33">
        <f>SUM(AS9:AS17)</f>
        <v/>
      </c>
      <c r="AT18" s="33">
        <f>SUM(AT9:AT17)</f>
        <v/>
      </c>
      <c r="AU18" s="33">
        <f>SUM(AU9:AU17)</f>
        <v/>
      </c>
      <c r="AV18" s="33">
        <f>SUM(AV9:AV17)</f>
        <v/>
      </c>
      <c r="AW18" s="33">
        <f>SUM(AW9:AW17)</f>
        <v/>
      </c>
      <c r="AX18" s="33">
        <f>SUM(AX9:AX17)</f>
        <v/>
      </c>
      <c r="AY18" s="33">
        <f>SUM(AY9:AY17)</f>
        <v/>
      </c>
      <c r="AZ18" s="33">
        <f>SUM(AZ9:AZ17)</f>
        <v/>
      </c>
      <c r="BA18" s="33">
        <f>SUM(BA9:BA17)</f>
        <v/>
      </c>
      <c r="BB18" s="33">
        <f>SUM(BB9:BB17)</f>
        <v/>
      </c>
      <c r="BC18" s="33">
        <f>SUM(BC9:BC17)</f>
        <v/>
      </c>
      <c r="BD18" s="33">
        <f>SUM(BD9:BD17)</f>
        <v/>
      </c>
      <c r="BE18" s="33">
        <f>SUM(BE9:BE17)</f>
        <v/>
      </c>
      <c r="BF18" s="33">
        <f>SUM(BF9:BF17)</f>
        <v/>
      </c>
      <c r="BG18" s="33">
        <f>SUM(BG9:BG17)</f>
        <v/>
      </c>
      <c r="BH18" s="33">
        <f>SUM(BH9:BH17)</f>
        <v/>
      </c>
      <c r="BI18" s="33">
        <f>SUM(BI9:BI17)</f>
        <v/>
      </c>
      <c r="BJ18" s="33">
        <f>SUM(BJ9:BJ17)</f>
        <v/>
      </c>
      <c r="BK18" s="33">
        <f>SUM(BK9:BK17)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</row>
    <row r="20">
      <c r="A20" s="12" t="inlineStr">
        <is>
          <t>B. Site operating costs</t>
        </is>
      </c>
      <c r="B20" s="13" t="n"/>
      <c r="C20" s="1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</row>
    <row r="21">
      <c r="A21" s="14" t="inlineStr">
        <is>
          <t>Residence one, staffing</t>
        </is>
      </c>
      <c r="B21" s="3" t="inlineStr"/>
      <c r="C21" s="2" t="n"/>
      <c r="D21" s="24">
        <f>IF(D$4&gt;=RES1_EFF,RES_STAFF,IF(OR(D$4=RES1_EFF-1,D$4=RES1_EFF-2),RES_STAFF*PREOPEN,0))</f>
        <v/>
      </c>
      <c r="E21" s="24">
        <f>IF(E$4&gt;=RES1_EFF,RES_STAFF,IF(OR(E$4=RES1_EFF-1,E$4=RES1_EFF-2),RES_STAFF*PREOPEN,0))</f>
        <v/>
      </c>
      <c r="F21" s="24">
        <f>IF(F$4&gt;=RES1_EFF,RES_STAFF,IF(OR(F$4=RES1_EFF-1,F$4=RES1_EFF-2),RES_STAFF*PREOPEN,0))</f>
        <v/>
      </c>
      <c r="G21" s="24">
        <f>IF(G$4&gt;=RES1_EFF,RES_STAFF,IF(OR(G$4=RES1_EFF-1,G$4=RES1_EFF-2),RES_STAFF*PREOPEN,0))</f>
        <v/>
      </c>
      <c r="H21" s="24">
        <f>IF(H$4&gt;=RES1_EFF,RES_STAFF,IF(OR(H$4=RES1_EFF-1,H$4=RES1_EFF-2),RES_STAFF*PREOPEN,0))</f>
        <v/>
      </c>
      <c r="I21" s="24">
        <f>IF(I$4&gt;=RES1_EFF,RES_STAFF,IF(OR(I$4=RES1_EFF-1,I$4=RES1_EFF-2),RES_STAFF*PREOPEN,0))</f>
        <v/>
      </c>
      <c r="J21" s="24">
        <f>IF(J$4&gt;=RES1_EFF,RES_STAFF,IF(OR(J$4=RES1_EFF-1,J$4=RES1_EFF-2),RES_STAFF*PREOPEN,0))</f>
        <v/>
      </c>
      <c r="K21" s="24">
        <f>IF(K$4&gt;=RES1_EFF,RES_STAFF,IF(OR(K$4=RES1_EFF-1,K$4=RES1_EFF-2),RES_STAFF*PREOPEN,0))</f>
        <v/>
      </c>
      <c r="L21" s="24">
        <f>IF(L$4&gt;=RES1_EFF,RES_STAFF,IF(OR(L$4=RES1_EFF-1,L$4=RES1_EFF-2),RES_STAFF*PREOPEN,0))</f>
        <v/>
      </c>
      <c r="M21" s="24">
        <f>IF(M$4&gt;=RES1_EFF,RES_STAFF,IF(OR(M$4=RES1_EFF-1,M$4=RES1_EFF-2),RES_STAFF*PREOPEN,0))</f>
        <v/>
      </c>
      <c r="N21" s="24">
        <f>IF(N$4&gt;=RES1_EFF,RES_STAFF,IF(OR(N$4=RES1_EFF-1,N$4=RES1_EFF-2),RES_STAFF*PREOPEN,0))</f>
        <v/>
      </c>
      <c r="O21" s="24">
        <f>IF(O$4&gt;=RES1_EFF,RES_STAFF,IF(OR(O$4=RES1_EFF-1,O$4=RES1_EFF-2),RES_STAFF*PREOPEN,0))</f>
        <v/>
      </c>
      <c r="P21" s="24">
        <f>IF(P$4&gt;=RES1_EFF,RES_STAFF,IF(OR(P$4=RES1_EFF-1,P$4=RES1_EFF-2),RES_STAFF*PREOPEN,0))</f>
        <v/>
      </c>
      <c r="Q21" s="24">
        <f>IF(Q$4&gt;=RES1_EFF,RES_STAFF,IF(OR(Q$4=RES1_EFF-1,Q$4=RES1_EFF-2),RES_STAFF*PREOPEN,0))</f>
        <v/>
      </c>
      <c r="R21" s="24">
        <f>IF(R$4&gt;=RES1_EFF,RES_STAFF,IF(OR(R$4=RES1_EFF-1,R$4=RES1_EFF-2),RES_STAFF*PREOPEN,0))</f>
        <v/>
      </c>
      <c r="S21" s="24">
        <f>IF(S$4&gt;=RES1_EFF,RES_STAFF,IF(OR(S$4=RES1_EFF-1,S$4=RES1_EFF-2),RES_STAFF*PREOPEN,0))</f>
        <v/>
      </c>
      <c r="T21" s="24">
        <f>IF(T$4&gt;=RES1_EFF,RES_STAFF,IF(OR(T$4=RES1_EFF-1,T$4=RES1_EFF-2),RES_STAFF*PREOPEN,0))</f>
        <v/>
      </c>
      <c r="U21" s="24">
        <f>IF(U$4&gt;=RES1_EFF,RES_STAFF,IF(OR(U$4=RES1_EFF-1,U$4=RES1_EFF-2),RES_STAFF*PREOPEN,0))</f>
        <v/>
      </c>
      <c r="V21" s="24">
        <f>IF(V$4&gt;=RES1_EFF,RES_STAFF,IF(OR(V$4=RES1_EFF-1,V$4=RES1_EFF-2),RES_STAFF*PREOPEN,0))</f>
        <v/>
      </c>
      <c r="W21" s="24">
        <f>IF(W$4&gt;=RES1_EFF,RES_STAFF,IF(OR(W$4=RES1_EFF-1,W$4=RES1_EFF-2),RES_STAFF*PREOPEN,0))</f>
        <v/>
      </c>
      <c r="X21" s="24">
        <f>IF(X$4&gt;=RES1_EFF,RES_STAFF,IF(OR(X$4=RES1_EFF-1,X$4=RES1_EFF-2),RES_STAFF*PREOPEN,0))</f>
        <v/>
      </c>
      <c r="Y21" s="24">
        <f>IF(Y$4&gt;=RES1_EFF,RES_STAFF,IF(OR(Y$4=RES1_EFF-1,Y$4=RES1_EFF-2),RES_STAFF*PREOPEN,0))</f>
        <v/>
      </c>
      <c r="Z21" s="24">
        <f>IF(Z$4&gt;=RES1_EFF,RES_STAFF,IF(OR(Z$4=RES1_EFF-1,Z$4=RES1_EFF-2),RES_STAFF*PREOPEN,0))</f>
        <v/>
      </c>
      <c r="AA21" s="24">
        <f>IF(AA$4&gt;=RES1_EFF,RES_STAFF,IF(OR(AA$4=RES1_EFF-1,AA$4=RES1_EFF-2),RES_STAFF*PREOPEN,0))</f>
        <v/>
      </c>
      <c r="AB21" s="24">
        <f>IF(AB$4&gt;=RES1_EFF,RES_STAFF,IF(OR(AB$4=RES1_EFF-1,AB$4=RES1_EFF-2),RES_STAFF*PREOPEN,0))</f>
        <v/>
      </c>
      <c r="AC21" s="24">
        <f>IF(AC$4&gt;=RES1_EFF,RES_STAFF,IF(OR(AC$4=RES1_EFF-1,AC$4=RES1_EFF-2),RES_STAFF*PREOPEN,0))</f>
        <v/>
      </c>
      <c r="AD21" s="24">
        <f>IF(AD$4&gt;=RES1_EFF,RES_STAFF,IF(OR(AD$4=RES1_EFF-1,AD$4=RES1_EFF-2),RES_STAFF*PREOPEN,0))</f>
        <v/>
      </c>
      <c r="AE21" s="24">
        <f>IF(AE$4&gt;=RES1_EFF,RES_STAFF,IF(OR(AE$4=RES1_EFF-1,AE$4=RES1_EFF-2),RES_STAFF*PREOPEN,0))</f>
        <v/>
      </c>
      <c r="AF21" s="24">
        <f>IF(AF$4&gt;=RES1_EFF,RES_STAFF,IF(OR(AF$4=RES1_EFF-1,AF$4=RES1_EFF-2),RES_STAFF*PREOPEN,0))</f>
        <v/>
      </c>
      <c r="AG21" s="24">
        <f>IF(AG$4&gt;=RES1_EFF,RES_STAFF,IF(OR(AG$4=RES1_EFF-1,AG$4=RES1_EFF-2),RES_STAFF*PREOPEN,0))</f>
        <v/>
      </c>
      <c r="AH21" s="24">
        <f>IF(AH$4&gt;=RES1_EFF,RES_STAFF,IF(OR(AH$4=RES1_EFF-1,AH$4=RES1_EFF-2),RES_STAFF*PREOPEN,0))</f>
        <v/>
      </c>
      <c r="AI21" s="24">
        <f>IF(AI$4&gt;=RES1_EFF,RES_STAFF,IF(OR(AI$4=RES1_EFF-1,AI$4=RES1_EFF-2),RES_STAFF*PREOPEN,0))</f>
        <v/>
      </c>
      <c r="AJ21" s="24">
        <f>IF(AJ$4&gt;=RES1_EFF,RES_STAFF,IF(OR(AJ$4=RES1_EFF-1,AJ$4=RES1_EFF-2),RES_STAFF*PREOPEN,0))</f>
        <v/>
      </c>
      <c r="AK21" s="24">
        <f>IF(AK$4&gt;=RES1_EFF,RES_STAFF,IF(OR(AK$4=RES1_EFF-1,AK$4=RES1_EFF-2),RES_STAFF*PREOPEN,0))</f>
        <v/>
      </c>
      <c r="AL21" s="24">
        <f>IF(AL$4&gt;=RES1_EFF,RES_STAFF,IF(OR(AL$4=RES1_EFF-1,AL$4=RES1_EFF-2),RES_STAFF*PREOPEN,0))</f>
        <v/>
      </c>
      <c r="AM21" s="24">
        <f>IF(AM$4&gt;=RES1_EFF,RES_STAFF,IF(OR(AM$4=RES1_EFF-1,AM$4=RES1_EFF-2),RES_STAFF*PREOPEN,0))</f>
        <v/>
      </c>
      <c r="AN21" s="24">
        <f>IF(AN$4&gt;=RES1_EFF,RES_STAFF,IF(OR(AN$4=RES1_EFF-1,AN$4=RES1_EFF-2),RES_STAFF*PREOPEN,0))</f>
        <v/>
      </c>
      <c r="AO21" s="24">
        <f>IF(AO$4&gt;=RES1_EFF,RES_STAFF,IF(OR(AO$4=RES1_EFF-1,AO$4=RES1_EFF-2),RES_STAFF*PREOPEN,0))</f>
        <v/>
      </c>
      <c r="AP21" s="24">
        <f>IF(AP$4&gt;=RES1_EFF,RES_STAFF,IF(OR(AP$4=RES1_EFF-1,AP$4=RES1_EFF-2),RES_STAFF*PREOPEN,0))</f>
        <v/>
      </c>
      <c r="AQ21" s="24">
        <f>IF(AQ$4&gt;=RES1_EFF,RES_STAFF,IF(OR(AQ$4=RES1_EFF-1,AQ$4=RES1_EFF-2),RES_STAFF*PREOPEN,0))</f>
        <v/>
      </c>
      <c r="AR21" s="24">
        <f>IF(AR$4&gt;=RES1_EFF,RES_STAFF,IF(OR(AR$4=RES1_EFF-1,AR$4=RES1_EFF-2),RES_STAFF*PREOPEN,0))</f>
        <v/>
      </c>
      <c r="AS21" s="24">
        <f>IF(AS$4&gt;=RES1_EFF,RES_STAFF,IF(OR(AS$4=RES1_EFF-1,AS$4=RES1_EFF-2),RES_STAFF*PREOPEN,0))</f>
        <v/>
      </c>
      <c r="AT21" s="24">
        <f>IF(AT$4&gt;=RES1_EFF,RES_STAFF,IF(OR(AT$4=RES1_EFF-1,AT$4=RES1_EFF-2),RES_STAFF*PREOPEN,0))</f>
        <v/>
      </c>
      <c r="AU21" s="24">
        <f>IF(AU$4&gt;=RES1_EFF,RES_STAFF,IF(OR(AU$4=RES1_EFF-1,AU$4=RES1_EFF-2),RES_STAFF*PREOPEN,0))</f>
        <v/>
      </c>
      <c r="AV21" s="24">
        <f>IF(AV$4&gt;=RES1_EFF,RES_STAFF,IF(OR(AV$4=RES1_EFF-1,AV$4=RES1_EFF-2),RES_STAFF*PREOPEN,0))</f>
        <v/>
      </c>
      <c r="AW21" s="24">
        <f>IF(AW$4&gt;=RES1_EFF,RES_STAFF,IF(OR(AW$4=RES1_EFF-1,AW$4=RES1_EFF-2),RES_STAFF*PREOPEN,0))</f>
        <v/>
      </c>
      <c r="AX21" s="24">
        <f>IF(AX$4&gt;=RES1_EFF,RES_STAFF,IF(OR(AX$4=RES1_EFF-1,AX$4=RES1_EFF-2),RES_STAFF*PREOPEN,0))</f>
        <v/>
      </c>
      <c r="AY21" s="24">
        <f>IF(AY$4&gt;=RES1_EFF,RES_STAFF,IF(OR(AY$4=RES1_EFF-1,AY$4=RES1_EFF-2),RES_STAFF*PREOPEN,0))</f>
        <v/>
      </c>
      <c r="AZ21" s="24">
        <f>IF(AZ$4&gt;=RES1_EFF,RES_STAFF,IF(OR(AZ$4=RES1_EFF-1,AZ$4=RES1_EFF-2),RES_STAFF*PREOPEN,0))</f>
        <v/>
      </c>
      <c r="BA21" s="24">
        <f>IF(BA$4&gt;=RES1_EFF,RES_STAFF,IF(OR(BA$4=RES1_EFF-1,BA$4=RES1_EFF-2),RES_STAFF*PREOPEN,0))</f>
        <v/>
      </c>
      <c r="BB21" s="24">
        <f>IF(BB$4&gt;=RES1_EFF,RES_STAFF,IF(OR(BB$4=RES1_EFF-1,BB$4=RES1_EFF-2),RES_STAFF*PREOPEN,0))</f>
        <v/>
      </c>
      <c r="BC21" s="24">
        <f>IF(BC$4&gt;=RES1_EFF,RES_STAFF,IF(OR(BC$4=RES1_EFF-1,BC$4=RES1_EFF-2),RES_STAFF*PREOPEN,0))</f>
        <v/>
      </c>
      <c r="BD21" s="24">
        <f>IF(BD$4&gt;=RES1_EFF,RES_STAFF,IF(OR(BD$4=RES1_EFF-1,BD$4=RES1_EFF-2),RES_STAFF*PREOPEN,0))</f>
        <v/>
      </c>
      <c r="BE21" s="24">
        <f>IF(BE$4&gt;=RES1_EFF,RES_STAFF,IF(OR(BE$4=RES1_EFF-1,BE$4=RES1_EFF-2),RES_STAFF*PREOPEN,0))</f>
        <v/>
      </c>
      <c r="BF21" s="24">
        <f>IF(BF$4&gt;=RES1_EFF,RES_STAFF,IF(OR(BF$4=RES1_EFF-1,BF$4=RES1_EFF-2),RES_STAFF*PREOPEN,0))</f>
        <v/>
      </c>
      <c r="BG21" s="24">
        <f>IF(BG$4&gt;=RES1_EFF,RES_STAFF,IF(OR(BG$4=RES1_EFF-1,BG$4=RES1_EFF-2),RES_STAFF*PREOPEN,0))</f>
        <v/>
      </c>
      <c r="BH21" s="24">
        <f>IF(BH$4&gt;=RES1_EFF,RES_STAFF,IF(OR(BH$4=RES1_EFF-1,BH$4=RES1_EFF-2),RES_STAFF*PREOPEN,0))</f>
        <v/>
      </c>
      <c r="BI21" s="24">
        <f>IF(BI$4&gt;=RES1_EFF,RES_STAFF,IF(OR(BI$4=RES1_EFF-1,BI$4=RES1_EFF-2),RES_STAFF*PREOPEN,0))</f>
        <v/>
      </c>
      <c r="BJ21" s="24">
        <f>IF(BJ$4&gt;=RES1_EFF,RES_STAFF,IF(OR(BJ$4=RES1_EFF-1,BJ$4=RES1_EFF-2),RES_STAFF*PREOPEN,0))</f>
        <v/>
      </c>
      <c r="BK21" s="24">
        <f>IF(BK$4&gt;=RES1_EFF,RES_STAFF,IF(OR(BK$4=RES1_EFF-1,BK$4=RES1_EFF-2),RES_STAFF*PREOPEN,0))</f>
        <v/>
      </c>
    </row>
    <row r="22">
      <c r="A22" s="14" t="inlineStr">
        <is>
          <t>Residence one, food and consumables</t>
        </is>
      </c>
      <c r="B22" s="3" t="inlineStr"/>
      <c r="C22" s="2" t="n"/>
      <c r="D22" s="24">
        <f>('Volumes'!D16+'Volumes'!D17+'Volumes'!D18)*RES_PER_BED</f>
        <v/>
      </c>
      <c r="E22" s="24">
        <f>('Volumes'!E16+'Volumes'!E17+'Volumes'!E18)*RES_PER_BED</f>
        <v/>
      </c>
      <c r="F22" s="24">
        <f>('Volumes'!F16+'Volumes'!F17+'Volumes'!F18)*RES_PER_BED</f>
        <v/>
      </c>
      <c r="G22" s="24">
        <f>('Volumes'!G16+'Volumes'!G17+'Volumes'!G18)*RES_PER_BED</f>
        <v/>
      </c>
      <c r="H22" s="24">
        <f>('Volumes'!H16+'Volumes'!H17+'Volumes'!H18)*RES_PER_BED</f>
        <v/>
      </c>
      <c r="I22" s="24">
        <f>('Volumes'!I16+'Volumes'!I17+'Volumes'!I18)*RES_PER_BED</f>
        <v/>
      </c>
      <c r="J22" s="24">
        <f>('Volumes'!J16+'Volumes'!J17+'Volumes'!J18)*RES_PER_BED</f>
        <v/>
      </c>
      <c r="K22" s="24">
        <f>('Volumes'!K16+'Volumes'!K17+'Volumes'!K18)*RES_PER_BED</f>
        <v/>
      </c>
      <c r="L22" s="24">
        <f>('Volumes'!L16+'Volumes'!L17+'Volumes'!L18)*RES_PER_BED</f>
        <v/>
      </c>
      <c r="M22" s="24">
        <f>('Volumes'!M16+'Volumes'!M17+'Volumes'!M18)*RES_PER_BED</f>
        <v/>
      </c>
      <c r="N22" s="24">
        <f>('Volumes'!N16+'Volumes'!N17+'Volumes'!N18)*RES_PER_BED</f>
        <v/>
      </c>
      <c r="O22" s="24">
        <f>('Volumes'!O16+'Volumes'!O17+'Volumes'!O18)*RES_PER_BED</f>
        <v/>
      </c>
      <c r="P22" s="24">
        <f>('Volumes'!P16+'Volumes'!P17+'Volumes'!P18)*RES_PER_BED</f>
        <v/>
      </c>
      <c r="Q22" s="24">
        <f>('Volumes'!Q16+'Volumes'!Q17+'Volumes'!Q18)*RES_PER_BED</f>
        <v/>
      </c>
      <c r="R22" s="24">
        <f>('Volumes'!R16+'Volumes'!R17+'Volumes'!R18)*RES_PER_BED</f>
        <v/>
      </c>
      <c r="S22" s="24">
        <f>('Volumes'!S16+'Volumes'!S17+'Volumes'!S18)*RES_PER_BED</f>
        <v/>
      </c>
      <c r="T22" s="24">
        <f>('Volumes'!T16+'Volumes'!T17+'Volumes'!T18)*RES_PER_BED</f>
        <v/>
      </c>
      <c r="U22" s="24">
        <f>('Volumes'!U16+'Volumes'!U17+'Volumes'!U18)*RES_PER_BED</f>
        <v/>
      </c>
      <c r="V22" s="24">
        <f>('Volumes'!V16+'Volumes'!V17+'Volumes'!V18)*RES_PER_BED</f>
        <v/>
      </c>
      <c r="W22" s="24">
        <f>('Volumes'!W16+'Volumes'!W17+'Volumes'!W18)*RES_PER_BED</f>
        <v/>
      </c>
      <c r="X22" s="24">
        <f>('Volumes'!X16+'Volumes'!X17+'Volumes'!X18)*RES_PER_BED</f>
        <v/>
      </c>
      <c r="Y22" s="24">
        <f>('Volumes'!Y16+'Volumes'!Y17+'Volumes'!Y18)*RES_PER_BED</f>
        <v/>
      </c>
      <c r="Z22" s="24">
        <f>('Volumes'!Z16+'Volumes'!Z17+'Volumes'!Z18)*RES_PER_BED</f>
        <v/>
      </c>
      <c r="AA22" s="24">
        <f>('Volumes'!AA16+'Volumes'!AA17+'Volumes'!AA18)*RES_PER_BED</f>
        <v/>
      </c>
      <c r="AB22" s="24">
        <f>('Volumes'!AB16+'Volumes'!AB17+'Volumes'!AB18)*RES_PER_BED</f>
        <v/>
      </c>
      <c r="AC22" s="24">
        <f>('Volumes'!AC16+'Volumes'!AC17+'Volumes'!AC18)*RES_PER_BED</f>
        <v/>
      </c>
      <c r="AD22" s="24">
        <f>('Volumes'!AD16+'Volumes'!AD17+'Volumes'!AD18)*RES_PER_BED</f>
        <v/>
      </c>
      <c r="AE22" s="24">
        <f>('Volumes'!AE16+'Volumes'!AE17+'Volumes'!AE18)*RES_PER_BED</f>
        <v/>
      </c>
      <c r="AF22" s="24">
        <f>('Volumes'!AF16+'Volumes'!AF17+'Volumes'!AF18)*RES_PER_BED</f>
        <v/>
      </c>
      <c r="AG22" s="24">
        <f>('Volumes'!AG16+'Volumes'!AG17+'Volumes'!AG18)*RES_PER_BED</f>
        <v/>
      </c>
      <c r="AH22" s="24">
        <f>('Volumes'!AH16+'Volumes'!AH17+'Volumes'!AH18)*RES_PER_BED</f>
        <v/>
      </c>
      <c r="AI22" s="24">
        <f>('Volumes'!AI16+'Volumes'!AI17+'Volumes'!AI18)*RES_PER_BED</f>
        <v/>
      </c>
      <c r="AJ22" s="24">
        <f>('Volumes'!AJ16+'Volumes'!AJ17+'Volumes'!AJ18)*RES_PER_BED</f>
        <v/>
      </c>
      <c r="AK22" s="24">
        <f>('Volumes'!AK16+'Volumes'!AK17+'Volumes'!AK18)*RES_PER_BED</f>
        <v/>
      </c>
      <c r="AL22" s="24">
        <f>('Volumes'!AL16+'Volumes'!AL17+'Volumes'!AL18)*RES_PER_BED</f>
        <v/>
      </c>
      <c r="AM22" s="24">
        <f>('Volumes'!AM16+'Volumes'!AM17+'Volumes'!AM18)*RES_PER_BED</f>
        <v/>
      </c>
      <c r="AN22" s="24">
        <f>('Volumes'!AN16+'Volumes'!AN17+'Volumes'!AN18)*RES_PER_BED</f>
        <v/>
      </c>
      <c r="AO22" s="24">
        <f>('Volumes'!AO16+'Volumes'!AO17+'Volumes'!AO18)*RES_PER_BED</f>
        <v/>
      </c>
      <c r="AP22" s="24">
        <f>('Volumes'!AP16+'Volumes'!AP17+'Volumes'!AP18)*RES_PER_BED</f>
        <v/>
      </c>
      <c r="AQ22" s="24">
        <f>('Volumes'!AQ16+'Volumes'!AQ17+'Volumes'!AQ18)*RES_PER_BED</f>
        <v/>
      </c>
      <c r="AR22" s="24">
        <f>('Volumes'!AR16+'Volumes'!AR17+'Volumes'!AR18)*RES_PER_BED</f>
        <v/>
      </c>
      <c r="AS22" s="24">
        <f>('Volumes'!AS16+'Volumes'!AS17+'Volumes'!AS18)*RES_PER_BED</f>
        <v/>
      </c>
      <c r="AT22" s="24">
        <f>('Volumes'!AT16+'Volumes'!AT17+'Volumes'!AT18)*RES_PER_BED</f>
        <v/>
      </c>
      <c r="AU22" s="24">
        <f>('Volumes'!AU16+'Volumes'!AU17+'Volumes'!AU18)*RES_PER_BED</f>
        <v/>
      </c>
      <c r="AV22" s="24">
        <f>('Volumes'!AV16+'Volumes'!AV17+'Volumes'!AV18)*RES_PER_BED</f>
        <v/>
      </c>
      <c r="AW22" s="24">
        <f>('Volumes'!AW16+'Volumes'!AW17+'Volumes'!AW18)*RES_PER_BED</f>
        <v/>
      </c>
      <c r="AX22" s="24">
        <f>('Volumes'!AX16+'Volumes'!AX17+'Volumes'!AX18)*RES_PER_BED</f>
        <v/>
      </c>
      <c r="AY22" s="24">
        <f>('Volumes'!AY16+'Volumes'!AY17+'Volumes'!AY18)*RES_PER_BED</f>
        <v/>
      </c>
      <c r="AZ22" s="24">
        <f>('Volumes'!AZ16+'Volumes'!AZ17+'Volumes'!AZ18)*RES_PER_BED</f>
        <v/>
      </c>
      <c r="BA22" s="24">
        <f>('Volumes'!BA16+'Volumes'!BA17+'Volumes'!BA18)*RES_PER_BED</f>
        <v/>
      </c>
      <c r="BB22" s="24">
        <f>('Volumes'!BB16+'Volumes'!BB17+'Volumes'!BB18)*RES_PER_BED</f>
        <v/>
      </c>
      <c r="BC22" s="24">
        <f>('Volumes'!BC16+'Volumes'!BC17+'Volumes'!BC18)*RES_PER_BED</f>
        <v/>
      </c>
      <c r="BD22" s="24">
        <f>('Volumes'!BD16+'Volumes'!BD17+'Volumes'!BD18)*RES_PER_BED</f>
        <v/>
      </c>
      <c r="BE22" s="24">
        <f>('Volumes'!BE16+'Volumes'!BE17+'Volumes'!BE18)*RES_PER_BED</f>
        <v/>
      </c>
      <c r="BF22" s="24">
        <f>('Volumes'!BF16+'Volumes'!BF17+'Volumes'!BF18)*RES_PER_BED</f>
        <v/>
      </c>
      <c r="BG22" s="24">
        <f>('Volumes'!BG16+'Volumes'!BG17+'Volumes'!BG18)*RES_PER_BED</f>
        <v/>
      </c>
      <c r="BH22" s="24">
        <f>('Volumes'!BH16+'Volumes'!BH17+'Volumes'!BH18)*RES_PER_BED</f>
        <v/>
      </c>
      <c r="BI22" s="24">
        <f>('Volumes'!BI16+'Volumes'!BI17+'Volumes'!BI18)*RES_PER_BED</f>
        <v/>
      </c>
      <c r="BJ22" s="24">
        <f>('Volumes'!BJ16+'Volumes'!BJ17+'Volumes'!BJ18)*RES_PER_BED</f>
        <v/>
      </c>
      <c r="BK22" s="24">
        <f>('Volumes'!BK16+'Volumes'!BK17+'Volumes'!BK18)*RES_PER_BED</f>
        <v/>
      </c>
    </row>
    <row r="23">
      <c r="A23" s="14" t="inlineStr">
        <is>
          <t>Residence one, power and diesel</t>
        </is>
      </c>
      <c r="B23" s="3" t="inlineStr"/>
      <c r="C23" s="2" t="n"/>
      <c r="D23" s="24">
        <f>IF(D$4&gt;=RES1_EFF,RES_UTIL,0)</f>
        <v/>
      </c>
      <c r="E23" s="24">
        <f>IF(E$4&gt;=RES1_EFF,RES_UTIL,0)</f>
        <v/>
      </c>
      <c r="F23" s="24">
        <f>IF(F$4&gt;=RES1_EFF,RES_UTIL,0)</f>
        <v/>
      </c>
      <c r="G23" s="24">
        <f>IF(G$4&gt;=RES1_EFF,RES_UTIL,0)</f>
        <v/>
      </c>
      <c r="H23" s="24">
        <f>IF(H$4&gt;=RES1_EFF,RES_UTIL,0)</f>
        <v/>
      </c>
      <c r="I23" s="24">
        <f>IF(I$4&gt;=RES1_EFF,RES_UTIL,0)</f>
        <v/>
      </c>
      <c r="J23" s="24">
        <f>IF(J$4&gt;=RES1_EFF,RES_UTIL,0)</f>
        <v/>
      </c>
      <c r="K23" s="24">
        <f>IF(K$4&gt;=RES1_EFF,RES_UTIL,0)</f>
        <v/>
      </c>
      <c r="L23" s="24">
        <f>IF(L$4&gt;=RES1_EFF,RES_UTIL,0)</f>
        <v/>
      </c>
      <c r="M23" s="24">
        <f>IF(M$4&gt;=RES1_EFF,RES_UTIL,0)</f>
        <v/>
      </c>
      <c r="N23" s="24">
        <f>IF(N$4&gt;=RES1_EFF,RES_UTIL,0)</f>
        <v/>
      </c>
      <c r="O23" s="24">
        <f>IF(O$4&gt;=RES1_EFF,RES_UTIL,0)</f>
        <v/>
      </c>
      <c r="P23" s="24">
        <f>IF(P$4&gt;=RES1_EFF,RES_UTIL,0)</f>
        <v/>
      </c>
      <c r="Q23" s="24">
        <f>IF(Q$4&gt;=RES1_EFF,RES_UTIL,0)</f>
        <v/>
      </c>
      <c r="R23" s="24">
        <f>IF(R$4&gt;=RES1_EFF,RES_UTIL,0)</f>
        <v/>
      </c>
      <c r="S23" s="24">
        <f>IF(S$4&gt;=RES1_EFF,RES_UTIL,0)</f>
        <v/>
      </c>
      <c r="T23" s="24">
        <f>IF(T$4&gt;=RES1_EFF,RES_UTIL,0)</f>
        <v/>
      </c>
      <c r="U23" s="24">
        <f>IF(U$4&gt;=RES1_EFF,RES_UTIL,0)</f>
        <v/>
      </c>
      <c r="V23" s="24">
        <f>IF(V$4&gt;=RES1_EFF,RES_UTIL,0)</f>
        <v/>
      </c>
      <c r="W23" s="24">
        <f>IF(W$4&gt;=RES1_EFF,RES_UTIL,0)</f>
        <v/>
      </c>
      <c r="X23" s="24">
        <f>IF(X$4&gt;=RES1_EFF,RES_UTIL,0)</f>
        <v/>
      </c>
      <c r="Y23" s="24">
        <f>IF(Y$4&gt;=RES1_EFF,RES_UTIL,0)</f>
        <v/>
      </c>
      <c r="Z23" s="24">
        <f>IF(Z$4&gt;=RES1_EFF,RES_UTIL,0)</f>
        <v/>
      </c>
      <c r="AA23" s="24">
        <f>IF(AA$4&gt;=RES1_EFF,RES_UTIL,0)</f>
        <v/>
      </c>
      <c r="AB23" s="24">
        <f>IF(AB$4&gt;=RES1_EFF,RES_UTIL,0)</f>
        <v/>
      </c>
      <c r="AC23" s="24">
        <f>IF(AC$4&gt;=RES1_EFF,RES_UTIL,0)</f>
        <v/>
      </c>
      <c r="AD23" s="24">
        <f>IF(AD$4&gt;=RES1_EFF,RES_UTIL,0)</f>
        <v/>
      </c>
      <c r="AE23" s="24">
        <f>IF(AE$4&gt;=RES1_EFF,RES_UTIL,0)</f>
        <v/>
      </c>
      <c r="AF23" s="24">
        <f>IF(AF$4&gt;=RES1_EFF,RES_UTIL,0)</f>
        <v/>
      </c>
      <c r="AG23" s="24">
        <f>IF(AG$4&gt;=RES1_EFF,RES_UTIL,0)</f>
        <v/>
      </c>
      <c r="AH23" s="24">
        <f>IF(AH$4&gt;=RES1_EFF,RES_UTIL,0)</f>
        <v/>
      </c>
      <c r="AI23" s="24">
        <f>IF(AI$4&gt;=RES1_EFF,RES_UTIL,0)</f>
        <v/>
      </c>
      <c r="AJ23" s="24">
        <f>IF(AJ$4&gt;=RES1_EFF,RES_UTIL,0)</f>
        <v/>
      </c>
      <c r="AK23" s="24">
        <f>IF(AK$4&gt;=RES1_EFF,RES_UTIL,0)</f>
        <v/>
      </c>
      <c r="AL23" s="24">
        <f>IF(AL$4&gt;=RES1_EFF,RES_UTIL,0)</f>
        <v/>
      </c>
      <c r="AM23" s="24">
        <f>IF(AM$4&gt;=RES1_EFF,RES_UTIL,0)</f>
        <v/>
      </c>
      <c r="AN23" s="24">
        <f>IF(AN$4&gt;=RES1_EFF,RES_UTIL,0)</f>
        <v/>
      </c>
      <c r="AO23" s="24">
        <f>IF(AO$4&gt;=RES1_EFF,RES_UTIL,0)</f>
        <v/>
      </c>
      <c r="AP23" s="24">
        <f>IF(AP$4&gt;=RES1_EFF,RES_UTIL,0)</f>
        <v/>
      </c>
      <c r="AQ23" s="24">
        <f>IF(AQ$4&gt;=RES1_EFF,RES_UTIL,0)</f>
        <v/>
      </c>
      <c r="AR23" s="24">
        <f>IF(AR$4&gt;=RES1_EFF,RES_UTIL,0)</f>
        <v/>
      </c>
      <c r="AS23" s="24">
        <f>IF(AS$4&gt;=RES1_EFF,RES_UTIL,0)</f>
        <v/>
      </c>
      <c r="AT23" s="24">
        <f>IF(AT$4&gt;=RES1_EFF,RES_UTIL,0)</f>
        <v/>
      </c>
      <c r="AU23" s="24">
        <f>IF(AU$4&gt;=RES1_EFF,RES_UTIL,0)</f>
        <v/>
      </c>
      <c r="AV23" s="24">
        <f>IF(AV$4&gt;=RES1_EFF,RES_UTIL,0)</f>
        <v/>
      </c>
      <c r="AW23" s="24">
        <f>IF(AW$4&gt;=RES1_EFF,RES_UTIL,0)</f>
        <v/>
      </c>
      <c r="AX23" s="24">
        <f>IF(AX$4&gt;=RES1_EFF,RES_UTIL,0)</f>
        <v/>
      </c>
      <c r="AY23" s="24">
        <f>IF(AY$4&gt;=RES1_EFF,RES_UTIL,0)</f>
        <v/>
      </c>
      <c r="AZ23" s="24">
        <f>IF(AZ$4&gt;=RES1_EFF,RES_UTIL,0)</f>
        <v/>
      </c>
      <c r="BA23" s="24">
        <f>IF(BA$4&gt;=RES1_EFF,RES_UTIL,0)</f>
        <v/>
      </c>
      <c r="BB23" s="24">
        <f>IF(BB$4&gt;=RES1_EFF,RES_UTIL,0)</f>
        <v/>
      </c>
      <c r="BC23" s="24">
        <f>IF(BC$4&gt;=RES1_EFF,RES_UTIL,0)</f>
        <v/>
      </c>
      <c r="BD23" s="24">
        <f>IF(BD$4&gt;=RES1_EFF,RES_UTIL,0)</f>
        <v/>
      </c>
      <c r="BE23" s="24">
        <f>IF(BE$4&gt;=RES1_EFF,RES_UTIL,0)</f>
        <v/>
      </c>
      <c r="BF23" s="24">
        <f>IF(BF$4&gt;=RES1_EFF,RES_UTIL,0)</f>
        <v/>
      </c>
      <c r="BG23" s="24">
        <f>IF(BG$4&gt;=RES1_EFF,RES_UTIL,0)</f>
        <v/>
      </c>
      <c r="BH23" s="24">
        <f>IF(BH$4&gt;=RES1_EFF,RES_UTIL,0)</f>
        <v/>
      </c>
      <c r="BI23" s="24">
        <f>IF(BI$4&gt;=RES1_EFF,RES_UTIL,0)</f>
        <v/>
      </c>
      <c r="BJ23" s="24">
        <f>IF(BJ$4&gt;=RES1_EFF,RES_UTIL,0)</f>
        <v/>
      </c>
      <c r="BK23" s="24">
        <f>IF(BK$4&gt;=RES1_EFF,RES_UTIL,0)</f>
        <v/>
      </c>
    </row>
    <row r="24">
      <c r="A24" s="14" t="inlineStr">
        <is>
          <t>Residence one, insurance and maintenance</t>
        </is>
      </c>
      <c r="B24" s="3" t="inlineStr"/>
      <c r="C24" s="2" t="n"/>
      <c r="D24" s="24">
        <f>IF(D$4&gt;=RES1_EFF,RES_OTHER,0)</f>
        <v/>
      </c>
      <c r="E24" s="24">
        <f>IF(E$4&gt;=RES1_EFF,RES_OTHER,0)</f>
        <v/>
      </c>
      <c r="F24" s="24">
        <f>IF(F$4&gt;=RES1_EFF,RES_OTHER,0)</f>
        <v/>
      </c>
      <c r="G24" s="24">
        <f>IF(G$4&gt;=RES1_EFF,RES_OTHER,0)</f>
        <v/>
      </c>
      <c r="H24" s="24">
        <f>IF(H$4&gt;=RES1_EFF,RES_OTHER,0)</f>
        <v/>
      </c>
      <c r="I24" s="24">
        <f>IF(I$4&gt;=RES1_EFF,RES_OTHER,0)</f>
        <v/>
      </c>
      <c r="J24" s="24">
        <f>IF(J$4&gt;=RES1_EFF,RES_OTHER,0)</f>
        <v/>
      </c>
      <c r="K24" s="24">
        <f>IF(K$4&gt;=RES1_EFF,RES_OTHER,0)</f>
        <v/>
      </c>
      <c r="L24" s="24">
        <f>IF(L$4&gt;=RES1_EFF,RES_OTHER,0)</f>
        <v/>
      </c>
      <c r="M24" s="24">
        <f>IF(M$4&gt;=RES1_EFF,RES_OTHER,0)</f>
        <v/>
      </c>
      <c r="N24" s="24">
        <f>IF(N$4&gt;=RES1_EFF,RES_OTHER,0)</f>
        <v/>
      </c>
      <c r="O24" s="24">
        <f>IF(O$4&gt;=RES1_EFF,RES_OTHER,0)</f>
        <v/>
      </c>
      <c r="P24" s="24">
        <f>IF(P$4&gt;=RES1_EFF,RES_OTHER,0)</f>
        <v/>
      </c>
      <c r="Q24" s="24">
        <f>IF(Q$4&gt;=RES1_EFF,RES_OTHER,0)</f>
        <v/>
      </c>
      <c r="R24" s="24">
        <f>IF(R$4&gt;=RES1_EFF,RES_OTHER,0)</f>
        <v/>
      </c>
      <c r="S24" s="24">
        <f>IF(S$4&gt;=RES1_EFF,RES_OTHER,0)</f>
        <v/>
      </c>
      <c r="T24" s="24">
        <f>IF(T$4&gt;=RES1_EFF,RES_OTHER,0)</f>
        <v/>
      </c>
      <c r="U24" s="24">
        <f>IF(U$4&gt;=RES1_EFF,RES_OTHER,0)</f>
        <v/>
      </c>
      <c r="V24" s="24">
        <f>IF(V$4&gt;=RES1_EFF,RES_OTHER,0)</f>
        <v/>
      </c>
      <c r="W24" s="24">
        <f>IF(W$4&gt;=RES1_EFF,RES_OTHER,0)</f>
        <v/>
      </c>
      <c r="X24" s="24">
        <f>IF(X$4&gt;=RES1_EFF,RES_OTHER,0)</f>
        <v/>
      </c>
      <c r="Y24" s="24">
        <f>IF(Y$4&gt;=RES1_EFF,RES_OTHER,0)</f>
        <v/>
      </c>
      <c r="Z24" s="24">
        <f>IF(Z$4&gt;=RES1_EFF,RES_OTHER,0)</f>
        <v/>
      </c>
      <c r="AA24" s="24">
        <f>IF(AA$4&gt;=RES1_EFF,RES_OTHER,0)</f>
        <v/>
      </c>
      <c r="AB24" s="24">
        <f>IF(AB$4&gt;=RES1_EFF,RES_OTHER,0)</f>
        <v/>
      </c>
      <c r="AC24" s="24">
        <f>IF(AC$4&gt;=RES1_EFF,RES_OTHER,0)</f>
        <v/>
      </c>
      <c r="AD24" s="24">
        <f>IF(AD$4&gt;=RES1_EFF,RES_OTHER,0)</f>
        <v/>
      </c>
      <c r="AE24" s="24">
        <f>IF(AE$4&gt;=RES1_EFF,RES_OTHER,0)</f>
        <v/>
      </c>
      <c r="AF24" s="24">
        <f>IF(AF$4&gt;=RES1_EFF,RES_OTHER,0)</f>
        <v/>
      </c>
      <c r="AG24" s="24">
        <f>IF(AG$4&gt;=RES1_EFF,RES_OTHER,0)</f>
        <v/>
      </c>
      <c r="AH24" s="24">
        <f>IF(AH$4&gt;=RES1_EFF,RES_OTHER,0)</f>
        <v/>
      </c>
      <c r="AI24" s="24">
        <f>IF(AI$4&gt;=RES1_EFF,RES_OTHER,0)</f>
        <v/>
      </c>
      <c r="AJ24" s="24">
        <f>IF(AJ$4&gt;=RES1_EFF,RES_OTHER,0)</f>
        <v/>
      </c>
      <c r="AK24" s="24">
        <f>IF(AK$4&gt;=RES1_EFF,RES_OTHER,0)</f>
        <v/>
      </c>
      <c r="AL24" s="24">
        <f>IF(AL$4&gt;=RES1_EFF,RES_OTHER,0)</f>
        <v/>
      </c>
      <c r="AM24" s="24">
        <f>IF(AM$4&gt;=RES1_EFF,RES_OTHER,0)</f>
        <v/>
      </c>
      <c r="AN24" s="24">
        <f>IF(AN$4&gt;=RES1_EFF,RES_OTHER,0)</f>
        <v/>
      </c>
      <c r="AO24" s="24">
        <f>IF(AO$4&gt;=RES1_EFF,RES_OTHER,0)</f>
        <v/>
      </c>
      <c r="AP24" s="24">
        <f>IF(AP$4&gt;=RES1_EFF,RES_OTHER,0)</f>
        <v/>
      </c>
      <c r="AQ24" s="24">
        <f>IF(AQ$4&gt;=RES1_EFF,RES_OTHER,0)</f>
        <v/>
      </c>
      <c r="AR24" s="24">
        <f>IF(AR$4&gt;=RES1_EFF,RES_OTHER,0)</f>
        <v/>
      </c>
      <c r="AS24" s="24">
        <f>IF(AS$4&gt;=RES1_EFF,RES_OTHER,0)</f>
        <v/>
      </c>
      <c r="AT24" s="24">
        <f>IF(AT$4&gt;=RES1_EFF,RES_OTHER,0)</f>
        <v/>
      </c>
      <c r="AU24" s="24">
        <f>IF(AU$4&gt;=RES1_EFF,RES_OTHER,0)</f>
        <v/>
      </c>
      <c r="AV24" s="24">
        <f>IF(AV$4&gt;=RES1_EFF,RES_OTHER,0)</f>
        <v/>
      </c>
      <c r="AW24" s="24">
        <f>IF(AW$4&gt;=RES1_EFF,RES_OTHER,0)</f>
        <v/>
      </c>
      <c r="AX24" s="24">
        <f>IF(AX$4&gt;=RES1_EFF,RES_OTHER,0)</f>
        <v/>
      </c>
      <c r="AY24" s="24">
        <f>IF(AY$4&gt;=RES1_EFF,RES_OTHER,0)</f>
        <v/>
      </c>
      <c r="AZ24" s="24">
        <f>IF(AZ$4&gt;=RES1_EFF,RES_OTHER,0)</f>
        <v/>
      </c>
      <c r="BA24" s="24">
        <f>IF(BA$4&gt;=RES1_EFF,RES_OTHER,0)</f>
        <v/>
      </c>
      <c r="BB24" s="24">
        <f>IF(BB$4&gt;=RES1_EFF,RES_OTHER,0)</f>
        <v/>
      </c>
      <c r="BC24" s="24">
        <f>IF(BC$4&gt;=RES1_EFF,RES_OTHER,0)</f>
        <v/>
      </c>
      <c r="BD24" s="24">
        <f>IF(BD$4&gt;=RES1_EFF,RES_OTHER,0)</f>
        <v/>
      </c>
      <c r="BE24" s="24">
        <f>IF(BE$4&gt;=RES1_EFF,RES_OTHER,0)</f>
        <v/>
      </c>
      <c r="BF24" s="24">
        <f>IF(BF$4&gt;=RES1_EFF,RES_OTHER,0)</f>
        <v/>
      </c>
      <c r="BG24" s="24">
        <f>IF(BG$4&gt;=RES1_EFF,RES_OTHER,0)</f>
        <v/>
      </c>
      <c r="BH24" s="24">
        <f>IF(BH$4&gt;=RES1_EFF,RES_OTHER,0)</f>
        <v/>
      </c>
      <c r="BI24" s="24">
        <f>IF(BI$4&gt;=RES1_EFF,RES_OTHER,0)</f>
        <v/>
      </c>
      <c r="BJ24" s="24">
        <f>IF(BJ$4&gt;=RES1_EFF,RES_OTHER,0)</f>
        <v/>
      </c>
      <c r="BK24" s="24">
        <f>IF(BK$4&gt;=RES1_EFF,RES_OTHER,0)</f>
        <v/>
      </c>
    </row>
    <row r="25">
      <c r="A25" s="14" t="inlineStr">
        <is>
          <t>Residence two, staffing</t>
        </is>
      </c>
      <c r="B25" s="3" t="inlineStr"/>
      <c r="C25" s="2" t="n"/>
      <c r="D25" s="24">
        <f>IF(D$4&gt;=RES2_EFF,RES_STAFF,IF(OR(D$4=RES2_EFF-1,D$4=RES2_EFF-2),RES_STAFF*PREOPEN,0))</f>
        <v/>
      </c>
      <c r="E25" s="24">
        <f>IF(E$4&gt;=RES2_EFF,RES_STAFF,IF(OR(E$4=RES2_EFF-1,E$4=RES2_EFF-2),RES_STAFF*PREOPEN,0))</f>
        <v/>
      </c>
      <c r="F25" s="24">
        <f>IF(F$4&gt;=RES2_EFF,RES_STAFF,IF(OR(F$4=RES2_EFF-1,F$4=RES2_EFF-2),RES_STAFF*PREOPEN,0))</f>
        <v/>
      </c>
      <c r="G25" s="24">
        <f>IF(G$4&gt;=RES2_EFF,RES_STAFF,IF(OR(G$4=RES2_EFF-1,G$4=RES2_EFF-2),RES_STAFF*PREOPEN,0))</f>
        <v/>
      </c>
      <c r="H25" s="24">
        <f>IF(H$4&gt;=RES2_EFF,RES_STAFF,IF(OR(H$4=RES2_EFF-1,H$4=RES2_EFF-2),RES_STAFF*PREOPEN,0))</f>
        <v/>
      </c>
      <c r="I25" s="24">
        <f>IF(I$4&gt;=RES2_EFF,RES_STAFF,IF(OR(I$4=RES2_EFF-1,I$4=RES2_EFF-2),RES_STAFF*PREOPEN,0))</f>
        <v/>
      </c>
      <c r="J25" s="24">
        <f>IF(J$4&gt;=RES2_EFF,RES_STAFF,IF(OR(J$4=RES2_EFF-1,J$4=RES2_EFF-2),RES_STAFF*PREOPEN,0))</f>
        <v/>
      </c>
      <c r="K25" s="24">
        <f>IF(K$4&gt;=RES2_EFF,RES_STAFF,IF(OR(K$4=RES2_EFF-1,K$4=RES2_EFF-2),RES_STAFF*PREOPEN,0))</f>
        <v/>
      </c>
      <c r="L25" s="24">
        <f>IF(L$4&gt;=RES2_EFF,RES_STAFF,IF(OR(L$4=RES2_EFF-1,L$4=RES2_EFF-2),RES_STAFF*PREOPEN,0))</f>
        <v/>
      </c>
      <c r="M25" s="24">
        <f>IF(M$4&gt;=RES2_EFF,RES_STAFF,IF(OR(M$4=RES2_EFF-1,M$4=RES2_EFF-2),RES_STAFF*PREOPEN,0))</f>
        <v/>
      </c>
      <c r="N25" s="24">
        <f>IF(N$4&gt;=RES2_EFF,RES_STAFF,IF(OR(N$4=RES2_EFF-1,N$4=RES2_EFF-2),RES_STAFF*PREOPEN,0))</f>
        <v/>
      </c>
      <c r="O25" s="24">
        <f>IF(O$4&gt;=RES2_EFF,RES_STAFF,IF(OR(O$4=RES2_EFF-1,O$4=RES2_EFF-2),RES_STAFF*PREOPEN,0))</f>
        <v/>
      </c>
      <c r="P25" s="24">
        <f>IF(P$4&gt;=RES2_EFF,RES_STAFF,IF(OR(P$4=RES2_EFF-1,P$4=RES2_EFF-2),RES_STAFF*PREOPEN,0))</f>
        <v/>
      </c>
      <c r="Q25" s="24">
        <f>IF(Q$4&gt;=RES2_EFF,RES_STAFF,IF(OR(Q$4=RES2_EFF-1,Q$4=RES2_EFF-2),RES_STAFF*PREOPEN,0))</f>
        <v/>
      </c>
      <c r="R25" s="24">
        <f>IF(R$4&gt;=RES2_EFF,RES_STAFF,IF(OR(R$4=RES2_EFF-1,R$4=RES2_EFF-2),RES_STAFF*PREOPEN,0))</f>
        <v/>
      </c>
      <c r="S25" s="24">
        <f>IF(S$4&gt;=RES2_EFF,RES_STAFF,IF(OR(S$4=RES2_EFF-1,S$4=RES2_EFF-2),RES_STAFF*PREOPEN,0))</f>
        <v/>
      </c>
      <c r="T25" s="24">
        <f>IF(T$4&gt;=RES2_EFF,RES_STAFF,IF(OR(T$4=RES2_EFF-1,T$4=RES2_EFF-2),RES_STAFF*PREOPEN,0))</f>
        <v/>
      </c>
      <c r="U25" s="24">
        <f>IF(U$4&gt;=RES2_EFF,RES_STAFF,IF(OR(U$4=RES2_EFF-1,U$4=RES2_EFF-2),RES_STAFF*PREOPEN,0))</f>
        <v/>
      </c>
      <c r="V25" s="24">
        <f>IF(V$4&gt;=RES2_EFF,RES_STAFF,IF(OR(V$4=RES2_EFF-1,V$4=RES2_EFF-2),RES_STAFF*PREOPEN,0))</f>
        <v/>
      </c>
      <c r="W25" s="24">
        <f>IF(W$4&gt;=RES2_EFF,RES_STAFF,IF(OR(W$4=RES2_EFF-1,W$4=RES2_EFF-2),RES_STAFF*PREOPEN,0))</f>
        <v/>
      </c>
      <c r="X25" s="24">
        <f>IF(X$4&gt;=RES2_EFF,RES_STAFF,IF(OR(X$4=RES2_EFF-1,X$4=RES2_EFF-2),RES_STAFF*PREOPEN,0))</f>
        <v/>
      </c>
      <c r="Y25" s="24">
        <f>IF(Y$4&gt;=RES2_EFF,RES_STAFF,IF(OR(Y$4=RES2_EFF-1,Y$4=RES2_EFF-2),RES_STAFF*PREOPEN,0))</f>
        <v/>
      </c>
      <c r="Z25" s="24">
        <f>IF(Z$4&gt;=RES2_EFF,RES_STAFF,IF(OR(Z$4=RES2_EFF-1,Z$4=RES2_EFF-2),RES_STAFF*PREOPEN,0))</f>
        <v/>
      </c>
      <c r="AA25" s="24">
        <f>IF(AA$4&gt;=RES2_EFF,RES_STAFF,IF(OR(AA$4=RES2_EFF-1,AA$4=RES2_EFF-2),RES_STAFF*PREOPEN,0))</f>
        <v/>
      </c>
      <c r="AB25" s="24">
        <f>IF(AB$4&gt;=RES2_EFF,RES_STAFF,IF(OR(AB$4=RES2_EFF-1,AB$4=RES2_EFF-2),RES_STAFF*PREOPEN,0))</f>
        <v/>
      </c>
      <c r="AC25" s="24">
        <f>IF(AC$4&gt;=RES2_EFF,RES_STAFF,IF(OR(AC$4=RES2_EFF-1,AC$4=RES2_EFF-2),RES_STAFF*PREOPEN,0))</f>
        <v/>
      </c>
      <c r="AD25" s="24">
        <f>IF(AD$4&gt;=RES2_EFF,RES_STAFF,IF(OR(AD$4=RES2_EFF-1,AD$4=RES2_EFF-2),RES_STAFF*PREOPEN,0))</f>
        <v/>
      </c>
      <c r="AE25" s="24">
        <f>IF(AE$4&gt;=RES2_EFF,RES_STAFF,IF(OR(AE$4=RES2_EFF-1,AE$4=RES2_EFF-2),RES_STAFF*PREOPEN,0))</f>
        <v/>
      </c>
      <c r="AF25" s="24">
        <f>IF(AF$4&gt;=RES2_EFF,RES_STAFF,IF(OR(AF$4=RES2_EFF-1,AF$4=RES2_EFF-2),RES_STAFF*PREOPEN,0))</f>
        <v/>
      </c>
      <c r="AG25" s="24">
        <f>IF(AG$4&gt;=RES2_EFF,RES_STAFF,IF(OR(AG$4=RES2_EFF-1,AG$4=RES2_EFF-2),RES_STAFF*PREOPEN,0))</f>
        <v/>
      </c>
      <c r="AH25" s="24">
        <f>IF(AH$4&gt;=RES2_EFF,RES_STAFF,IF(OR(AH$4=RES2_EFF-1,AH$4=RES2_EFF-2),RES_STAFF*PREOPEN,0))</f>
        <v/>
      </c>
      <c r="AI25" s="24">
        <f>IF(AI$4&gt;=RES2_EFF,RES_STAFF,IF(OR(AI$4=RES2_EFF-1,AI$4=RES2_EFF-2),RES_STAFF*PREOPEN,0))</f>
        <v/>
      </c>
      <c r="AJ25" s="24">
        <f>IF(AJ$4&gt;=RES2_EFF,RES_STAFF,IF(OR(AJ$4=RES2_EFF-1,AJ$4=RES2_EFF-2),RES_STAFF*PREOPEN,0))</f>
        <v/>
      </c>
      <c r="AK25" s="24">
        <f>IF(AK$4&gt;=RES2_EFF,RES_STAFF,IF(OR(AK$4=RES2_EFF-1,AK$4=RES2_EFF-2),RES_STAFF*PREOPEN,0))</f>
        <v/>
      </c>
      <c r="AL25" s="24">
        <f>IF(AL$4&gt;=RES2_EFF,RES_STAFF,IF(OR(AL$4=RES2_EFF-1,AL$4=RES2_EFF-2),RES_STAFF*PREOPEN,0))</f>
        <v/>
      </c>
      <c r="AM25" s="24">
        <f>IF(AM$4&gt;=RES2_EFF,RES_STAFF,IF(OR(AM$4=RES2_EFF-1,AM$4=RES2_EFF-2),RES_STAFF*PREOPEN,0))</f>
        <v/>
      </c>
      <c r="AN25" s="24">
        <f>IF(AN$4&gt;=RES2_EFF,RES_STAFF,IF(OR(AN$4=RES2_EFF-1,AN$4=RES2_EFF-2),RES_STAFF*PREOPEN,0))</f>
        <v/>
      </c>
      <c r="AO25" s="24">
        <f>IF(AO$4&gt;=RES2_EFF,RES_STAFF,IF(OR(AO$4=RES2_EFF-1,AO$4=RES2_EFF-2),RES_STAFF*PREOPEN,0))</f>
        <v/>
      </c>
      <c r="AP25" s="24">
        <f>IF(AP$4&gt;=RES2_EFF,RES_STAFF,IF(OR(AP$4=RES2_EFF-1,AP$4=RES2_EFF-2),RES_STAFF*PREOPEN,0))</f>
        <v/>
      </c>
      <c r="AQ25" s="24">
        <f>IF(AQ$4&gt;=RES2_EFF,RES_STAFF,IF(OR(AQ$4=RES2_EFF-1,AQ$4=RES2_EFF-2),RES_STAFF*PREOPEN,0))</f>
        <v/>
      </c>
      <c r="AR25" s="24">
        <f>IF(AR$4&gt;=RES2_EFF,RES_STAFF,IF(OR(AR$4=RES2_EFF-1,AR$4=RES2_EFF-2),RES_STAFF*PREOPEN,0))</f>
        <v/>
      </c>
      <c r="AS25" s="24">
        <f>IF(AS$4&gt;=RES2_EFF,RES_STAFF,IF(OR(AS$4=RES2_EFF-1,AS$4=RES2_EFF-2),RES_STAFF*PREOPEN,0))</f>
        <v/>
      </c>
      <c r="AT25" s="24">
        <f>IF(AT$4&gt;=RES2_EFF,RES_STAFF,IF(OR(AT$4=RES2_EFF-1,AT$4=RES2_EFF-2),RES_STAFF*PREOPEN,0))</f>
        <v/>
      </c>
      <c r="AU25" s="24">
        <f>IF(AU$4&gt;=RES2_EFF,RES_STAFF,IF(OR(AU$4=RES2_EFF-1,AU$4=RES2_EFF-2),RES_STAFF*PREOPEN,0))</f>
        <v/>
      </c>
      <c r="AV25" s="24">
        <f>IF(AV$4&gt;=RES2_EFF,RES_STAFF,IF(OR(AV$4=RES2_EFF-1,AV$4=RES2_EFF-2),RES_STAFF*PREOPEN,0))</f>
        <v/>
      </c>
      <c r="AW25" s="24">
        <f>IF(AW$4&gt;=RES2_EFF,RES_STAFF,IF(OR(AW$4=RES2_EFF-1,AW$4=RES2_EFF-2),RES_STAFF*PREOPEN,0))</f>
        <v/>
      </c>
      <c r="AX25" s="24">
        <f>IF(AX$4&gt;=RES2_EFF,RES_STAFF,IF(OR(AX$4=RES2_EFF-1,AX$4=RES2_EFF-2),RES_STAFF*PREOPEN,0))</f>
        <v/>
      </c>
      <c r="AY25" s="24">
        <f>IF(AY$4&gt;=RES2_EFF,RES_STAFF,IF(OR(AY$4=RES2_EFF-1,AY$4=RES2_EFF-2),RES_STAFF*PREOPEN,0))</f>
        <v/>
      </c>
      <c r="AZ25" s="24">
        <f>IF(AZ$4&gt;=RES2_EFF,RES_STAFF,IF(OR(AZ$4=RES2_EFF-1,AZ$4=RES2_EFF-2),RES_STAFF*PREOPEN,0))</f>
        <v/>
      </c>
      <c r="BA25" s="24">
        <f>IF(BA$4&gt;=RES2_EFF,RES_STAFF,IF(OR(BA$4=RES2_EFF-1,BA$4=RES2_EFF-2),RES_STAFF*PREOPEN,0))</f>
        <v/>
      </c>
      <c r="BB25" s="24">
        <f>IF(BB$4&gt;=RES2_EFF,RES_STAFF,IF(OR(BB$4=RES2_EFF-1,BB$4=RES2_EFF-2),RES_STAFF*PREOPEN,0))</f>
        <v/>
      </c>
      <c r="BC25" s="24">
        <f>IF(BC$4&gt;=RES2_EFF,RES_STAFF,IF(OR(BC$4=RES2_EFF-1,BC$4=RES2_EFF-2),RES_STAFF*PREOPEN,0))</f>
        <v/>
      </c>
      <c r="BD25" s="24">
        <f>IF(BD$4&gt;=RES2_EFF,RES_STAFF,IF(OR(BD$4=RES2_EFF-1,BD$4=RES2_EFF-2),RES_STAFF*PREOPEN,0))</f>
        <v/>
      </c>
      <c r="BE25" s="24">
        <f>IF(BE$4&gt;=RES2_EFF,RES_STAFF,IF(OR(BE$4=RES2_EFF-1,BE$4=RES2_EFF-2),RES_STAFF*PREOPEN,0))</f>
        <v/>
      </c>
      <c r="BF25" s="24">
        <f>IF(BF$4&gt;=RES2_EFF,RES_STAFF,IF(OR(BF$4=RES2_EFF-1,BF$4=RES2_EFF-2),RES_STAFF*PREOPEN,0))</f>
        <v/>
      </c>
      <c r="BG25" s="24">
        <f>IF(BG$4&gt;=RES2_EFF,RES_STAFF,IF(OR(BG$4=RES2_EFF-1,BG$4=RES2_EFF-2),RES_STAFF*PREOPEN,0))</f>
        <v/>
      </c>
      <c r="BH25" s="24">
        <f>IF(BH$4&gt;=RES2_EFF,RES_STAFF,IF(OR(BH$4=RES2_EFF-1,BH$4=RES2_EFF-2),RES_STAFF*PREOPEN,0))</f>
        <v/>
      </c>
      <c r="BI25" s="24">
        <f>IF(BI$4&gt;=RES2_EFF,RES_STAFF,IF(OR(BI$4=RES2_EFF-1,BI$4=RES2_EFF-2),RES_STAFF*PREOPEN,0))</f>
        <v/>
      </c>
      <c r="BJ25" s="24">
        <f>IF(BJ$4&gt;=RES2_EFF,RES_STAFF,IF(OR(BJ$4=RES2_EFF-1,BJ$4=RES2_EFF-2),RES_STAFF*PREOPEN,0))</f>
        <v/>
      </c>
      <c r="BK25" s="24">
        <f>IF(BK$4&gt;=RES2_EFF,RES_STAFF,IF(OR(BK$4=RES2_EFF-1,BK$4=RES2_EFF-2),RES_STAFF*PREOPEN,0))</f>
        <v/>
      </c>
    </row>
    <row r="26">
      <c r="A26" s="14" t="inlineStr">
        <is>
          <t>Residence two, food and consumables</t>
        </is>
      </c>
      <c r="B26" s="3" t="inlineStr"/>
      <c r="C26" s="2" t="n"/>
      <c r="D26" s="24">
        <f>('Volumes'!D19+'Volumes'!D20+'Volumes'!D21)*RES_PER_BED</f>
        <v/>
      </c>
      <c r="E26" s="24">
        <f>('Volumes'!E19+'Volumes'!E20+'Volumes'!E21)*RES_PER_BED</f>
        <v/>
      </c>
      <c r="F26" s="24">
        <f>('Volumes'!F19+'Volumes'!F20+'Volumes'!F21)*RES_PER_BED</f>
        <v/>
      </c>
      <c r="G26" s="24">
        <f>('Volumes'!G19+'Volumes'!G20+'Volumes'!G21)*RES_PER_BED</f>
        <v/>
      </c>
      <c r="H26" s="24">
        <f>('Volumes'!H19+'Volumes'!H20+'Volumes'!H21)*RES_PER_BED</f>
        <v/>
      </c>
      <c r="I26" s="24">
        <f>('Volumes'!I19+'Volumes'!I20+'Volumes'!I21)*RES_PER_BED</f>
        <v/>
      </c>
      <c r="J26" s="24">
        <f>('Volumes'!J19+'Volumes'!J20+'Volumes'!J21)*RES_PER_BED</f>
        <v/>
      </c>
      <c r="K26" s="24">
        <f>('Volumes'!K19+'Volumes'!K20+'Volumes'!K21)*RES_PER_BED</f>
        <v/>
      </c>
      <c r="L26" s="24">
        <f>('Volumes'!L19+'Volumes'!L20+'Volumes'!L21)*RES_PER_BED</f>
        <v/>
      </c>
      <c r="M26" s="24">
        <f>('Volumes'!M19+'Volumes'!M20+'Volumes'!M21)*RES_PER_BED</f>
        <v/>
      </c>
      <c r="N26" s="24">
        <f>('Volumes'!N19+'Volumes'!N20+'Volumes'!N21)*RES_PER_BED</f>
        <v/>
      </c>
      <c r="O26" s="24">
        <f>('Volumes'!O19+'Volumes'!O20+'Volumes'!O21)*RES_PER_BED</f>
        <v/>
      </c>
      <c r="P26" s="24">
        <f>('Volumes'!P19+'Volumes'!P20+'Volumes'!P21)*RES_PER_BED</f>
        <v/>
      </c>
      <c r="Q26" s="24">
        <f>('Volumes'!Q19+'Volumes'!Q20+'Volumes'!Q21)*RES_PER_BED</f>
        <v/>
      </c>
      <c r="R26" s="24">
        <f>('Volumes'!R19+'Volumes'!R20+'Volumes'!R21)*RES_PER_BED</f>
        <v/>
      </c>
      <c r="S26" s="24">
        <f>('Volumes'!S19+'Volumes'!S20+'Volumes'!S21)*RES_PER_BED</f>
        <v/>
      </c>
      <c r="T26" s="24">
        <f>('Volumes'!T19+'Volumes'!T20+'Volumes'!T21)*RES_PER_BED</f>
        <v/>
      </c>
      <c r="U26" s="24">
        <f>('Volumes'!U19+'Volumes'!U20+'Volumes'!U21)*RES_PER_BED</f>
        <v/>
      </c>
      <c r="V26" s="24">
        <f>('Volumes'!V19+'Volumes'!V20+'Volumes'!V21)*RES_PER_BED</f>
        <v/>
      </c>
      <c r="W26" s="24">
        <f>('Volumes'!W19+'Volumes'!W20+'Volumes'!W21)*RES_PER_BED</f>
        <v/>
      </c>
      <c r="X26" s="24">
        <f>('Volumes'!X19+'Volumes'!X20+'Volumes'!X21)*RES_PER_BED</f>
        <v/>
      </c>
      <c r="Y26" s="24">
        <f>('Volumes'!Y19+'Volumes'!Y20+'Volumes'!Y21)*RES_PER_BED</f>
        <v/>
      </c>
      <c r="Z26" s="24">
        <f>('Volumes'!Z19+'Volumes'!Z20+'Volumes'!Z21)*RES_PER_BED</f>
        <v/>
      </c>
      <c r="AA26" s="24">
        <f>('Volumes'!AA19+'Volumes'!AA20+'Volumes'!AA21)*RES_PER_BED</f>
        <v/>
      </c>
      <c r="AB26" s="24">
        <f>('Volumes'!AB19+'Volumes'!AB20+'Volumes'!AB21)*RES_PER_BED</f>
        <v/>
      </c>
      <c r="AC26" s="24">
        <f>('Volumes'!AC19+'Volumes'!AC20+'Volumes'!AC21)*RES_PER_BED</f>
        <v/>
      </c>
      <c r="AD26" s="24">
        <f>('Volumes'!AD19+'Volumes'!AD20+'Volumes'!AD21)*RES_PER_BED</f>
        <v/>
      </c>
      <c r="AE26" s="24">
        <f>('Volumes'!AE19+'Volumes'!AE20+'Volumes'!AE21)*RES_PER_BED</f>
        <v/>
      </c>
      <c r="AF26" s="24">
        <f>('Volumes'!AF19+'Volumes'!AF20+'Volumes'!AF21)*RES_PER_BED</f>
        <v/>
      </c>
      <c r="AG26" s="24">
        <f>('Volumes'!AG19+'Volumes'!AG20+'Volumes'!AG21)*RES_PER_BED</f>
        <v/>
      </c>
      <c r="AH26" s="24">
        <f>('Volumes'!AH19+'Volumes'!AH20+'Volumes'!AH21)*RES_PER_BED</f>
        <v/>
      </c>
      <c r="AI26" s="24">
        <f>('Volumes'!AI19+'Volumes'!AI20+'Volumes'!AI21)*RES_PER_BED</f>
        <v/>
      </c>
      <c r="AJ26" s="24">
        <f>('Volumes'!AJ19+'Volumes'!AJ20+'Volumes'!AJ21)*RES_PER_BED</f>
        <v/>
      </c>
      <c r="AK26" s="24">
        <f>('Volumes'!AK19+'Volumes'!AK20+'Volumes'!AK21)*RES_PER_BED</f>
        <v/>
      </c>
      <c r="AL26" s="24">
        <f>('Volumes'!AL19+'Volumes'!AL20+'Volumes'!AL21)*RES_PER_BED</f>
        <v/>
      </c>
      <c r="AM26" s="24">
        <f>('Volumes'!AM19+'Volumes'!AM20+'Volumes'!AM21)*RES_PER_BED</f>
        <v/>
      </c>
      <c r="AN26" s="24">
        <f>('Volumes'!AN19+'Volumes'!AN20+'Volumes'!AN21)*RES_PER_BED</f>
        <v/>
      </c>
      <c r="AO26" s="24">
        <f>('Volumes'!AO19+'Volumes'!AO20+'Volumes'!AO21)*RES_PER_BED</f>
        <v/>
      </c>
      <c r="AP26" s="24">
        <f>('Volumes'!AP19+'Volumes'!AP20+'Volumes'!AP21)*RES_PER_BED</f>
        <v/>
      </c>
      <c r="AQ26" s="24">
        <f>('Volumes'!AQ19+'Volumes'!AQ20+'Volumes'!AQ21)*RES_PER_BED</f>
        <v/>
      </c>
      <c r="AR26" s="24">
        <f>('Volumes'!AR19+'Volumes'!AR20+'Volumes'!AR21)*RES_PER_BED</f>
        <v/>
      </c>
      <c r="AS26" s="24">
        <f>('Volumes'!AS19+'Volumes'!AS20+'Volumes'!AS21)*RES_PER_BED</f>
        <v/>
      </c>
      <c r="AT26" s="24">
        <f>('Volumes'!AT19+'Volumes'!AT20+'Volumes'!AT21)*RES_PER_BED</f>
        <v/>
      </c>
      <c r="AU26" s="24">
        <f>('Volumes'!AU19+'Volumes'!AU20+'Volumes'!AU21)*RES_PER_BED</f>
        <v/>
      </c>
      <c r="AV26" s="24">
        <f>('Volumes'!AV19+'Volumes'!AV20+'Volumes'!AV21)*RES_PER_BED</f>
        <v/>
      </c>
      <c r="AW26" s="24">
        <f>('Volumes'!AW19+'Volumes'!AW20+'Volumes'!AW21)*RES_PER_BED</f>
        <v/>
      </c>
      <c r="AX26" s="24">
        <f>('Volumes'!AX19+'Volumes'!AX20+'Volumes'!AX21)*RES_PER_BED</f>
        <v/>
      </c>
      <c r="AY26" s="24">
        <f>('Volumes'!AY19+'Volumes'!AY20+'Volumes'!AY21)*RES_PER_BED</f>
        <v/>
      </c>
      <c r="AZ26" s="24">
        <f>('Volumes'!AZ19+'Volumes'!AZ20+'Volumes'!AZ21)*RES_PER_BED</f>
        <v/>
      </c>
      <c r="BA26" s="24">
        <f>('Volumes'!BA19+'Volumes'!BA20+'Volumes'!BA21)*RES_PER_BED</f>
        <v/>
      </c>
      <c r="BB26" s="24">
        <f>('Volumes'!BB19+'Volumes'!BB20+'Volumes'!BB21)*RES_PER_BED</f>
        <v/>
      </c>
      <c r="BC26" s="24">
        <f>('Volumes'!BC19+'Volumes'!BC20+'Volumes'!BC21)*RES_PER_BED</f>
        <v/>
      </c>
      <c r="BD26" s="24">
        <f>('Volumes'!BD19+'Volumes'!BD20+'Volumes'!BD21)*RES_PER_BED</f>
        <v/>
      </c>
      <c r="BE26" s="24">
        <f>('Volumes'!BE19+'Volumes'!BE20+'Volumes'!BE21)*RES_PER_BED</f>
        <v/>
      </c>
      <c r="BF26" s="24">
        <f>('Volumes'!BF19+'Volumes'!BF20+'Volumes'!BF21)*RES_PER_BED</f>
        <v/>
      </c>
      <c r="BG26" s="24">
        <f>('Volumes'!BG19+'Volumes'!BG20+'Volumes'!BG21)*RES_PER_BED</f>
        <v/>
      </c>
      <c r="BH26" s="24">
        <f>('Volumes'!BH19+'Volumes'!BH20+'Volumes'!BH21)*RES_PER_BED</f>
        <v/>
      </c>
      <c r="BI26" s="24">
        <f>('Volumes'!BI19+'Volumes'!BI20+'Volumes'!BI21)*RES_PER_BED</f>
        <v/>
      </c>
      <c r="BJ26" s="24">
        <f>('Volumes'!BJ19+'Volumes'!BJ20+'Volumes'!BJ21)*RES_PER_BED</f>
        <v/>
      </c>
      <c r="BK26" s="24">
        <f>('Volumes'!BK19+'Volumes'!BK20+'Volumes'!BK21)*RES_PER_BED</f>
        <v/>
      </c>
    </row>
    <row r="27">
      <c r="A27" s="14" t="inlineStr">
        <is>
          <t>Residence two, power and diesel</t>
        </is>
      </c>
      <c r="B27" s="3" t="inlineStr"/>
      <c r="C27" s="2" t="n"/>
      <c r="D27" s="24">
        <f>IF(D$4&gt;=RES2_EFF,RES_UTIL,0)</f>
        <v/>
      </c>
      <c r="E27" s="24">
        <f>IF(E$4&gt;=RES2_EFF,RES_UTIL,0)</f>
        <v/>
      </c>
      <c r="F27" s="24">
        <f>IF(F$4&gt;=RES2_EFF,RES_UTIL,0)</f>
        <v/>
      </c>
      <c r="G27" s="24">
        <f>IF(G$4&gt;=RES2_EFF,RES_UTIL,0)</f>
        <v/>
      </c>
      <c r="H27" s="24">
        <f>IF(H$4&gt;=RES2_EFF,RES_UTIL,0)</f>
        <v/>
      </c>
      <c r="I27" s="24">
        <f>IF(I$4&gt;=RES2_EFF,RES_UTIL,0)</f>
        <v/>
      </c>
      <c r="J27" s="24">
        <f>IF(J$4&gt;=RES2_EFF,RES_UTIL,0)</f>
        <v/>
      </c>
      <c r="K27" s="24">
        <f>IF(K$4&gt;=RES2_EFF,RES_UTIL,0)</f>
        <v/>
      </c>
      <c r="L27" s="24">
        <f>IF(L$4&gt;=RES2_EFF,RES_UTIL,0)</f>
        <v/>
      </c>
      <c r="M27" s="24">
        <f>IF(M$4&gt;=RES2_EFF,RES_UTIL,0)</f>
        <v/>
      </c>
      <c r="N27" s="24">
        <f>IF(N$4&gt;=RES2_EFF,RES_UTIL,0)</f>
        <v/>
      </c>
      <c r="O27" s="24">
        <f>IF(O$4&gt;=RES2_EFF,RES_UTIL,0)</f>
        <v/>
      </c>
      <c r="P27" s="24">
        <f>IF(P$4&gt;=RES2_EFF,RES_UTIL,0)</f>
        <v/>
      </c>
      <c r="Q27" s="24">
        <f>IF(Q$4&gt;=RES2_EFF,RES_UTIL,0)</f>
        <v/>
      </c>
      <c r="R27" s="24">
        <f>IF(R$4&gt;=RES2_EFF,RES_UTIL,0)</f>
        <v/>
      </c>
      <c r="S27" s="24">
        <f>IF(S$4&gt;=RES2_EFF,RES_UTIL,0)</f>
        <v/>
      </c>
      <c r="T27" s="24">
        <f>IF(T$4&gt;=RES2_EFF,RES_UTIL,0)</f>
        <v/>
      </c>
      <c r="U27" s="24">
        <f>IF(U$4&gt;=RES2_EFF,RES_UTIL,0)</f>
        <v/>
      </c>
      <c r="V27" s="24">
        <f>IF(V$4&gt;=RES2_EFF,RES_UTIL,0)</f>
        <v/>
      </c>
      <c r="W27" s="24">
        <f>IF(W$4&gt;=RES2_EFF,RES_UTIL,0)</f>
        <v/>
      </c>
      <c r="X27" s="24">
        <f>IF(X$4&gt;=RES2_EFF,RES_UTIL,0)</f>
        <v/>
      </c>
      <c r="Y27" s="24">
        <f>IF(Y$4&gt;=RES2_EFF,RES_UTIL,0)</f>
        <v/>
      </c>
      <c r="Z27" s="24">
        <f>IF(Z$4&gt;=RES2_EFF,RES_UTIL,0)</f>
        <v/>
      </c>
      <c r="AA27" s="24">
        <f>IF(AA$4&gt;=RES2_EFF,RES_UTIL,0)</f>
        <v/>
      </c>
      <c r="AB27" s="24">
        <f>IF(AB$4&gt;=RES2_EFF,RES_UTIL,0)</f>
        <v/>
      </c>
      <c r="AC27" s="24">
        <f>IF(AC$4&gt;=RES2_EFF,RES_UTIL,0)</f>
        <v/>
      </c>
      <c r="AD27" s="24">
        <f>IF(AD$4&gt;=RES2_EFF,RES_UTIL,0)</f>
        <v/>
      </c>
      <c r="AE27" s="24">
        <f>IF(AE$4&gt;=RES2_EFF,RES_UTIL,0)</f>
        <v/>
      </c>
      <c r="AF27" s="24">
        <f>IF(AF$4&gt;=RES2_EFF,RES_UTIL,0)</f>
        <v/>
      </c>
      <c r="AG27" s="24">
        <f>IF(AG$4&gt;=RES2_EFF,RES_UTIL,0)</f>
        <v/>
      </c>
      <c r="AH27" s="24">
        <f>IF(AH$4&gt;=RES2_EFF,RES_UTIL,0)</f>
        <v/>
      </c>
      <c r="AI27" s="24">
        <f>IF(AI$4&gt;=RES2_EFF,RES_UTIL,0)</f>
        <v/>
      </c>
      <c r="AJ27" s="24">
        <f>IF(AJ$4&gt;=RES2_EFF,RES_UTIL,0)</f>
        <v/>
      </c>
      <c r="AK27" s="24">
        <f>IF(AK$4&gt;=RES2_EFF,RES_UTIL,0)</f>
        <v/>
      </c>
      <c r="AL27" s="24">
        <f>IF(AL$4&gt;=RES2_EFF,RES_UTIL,0)</f>
        <v/>
      </c>
      <c r="AM27" s="24">
        <f>IF(AM$4&gt;=RES2_EFF,RES_UTIL,0)</f>
        <v/>
      </c>
      <c r="AN27" s="24">
        <f>IF(AN$4&gt;=RES2_EFF,RES_UTIL,0)</f>
        <v/>
      </c>
      <c r="AO27" s="24">
        <f>IF(AO$4&gt;=RES2_EFF,RES_UTIL,0)</f>
        <v/>
      </c>
      <c r="AP27" s="24">
        <f>IF(AP$4&gt;=RES2_EFF,RES_UTIL,0)</f>
        <v/>
      </c>
      <c r="AQ27" s="24">
        <f>IF(AQ$4&gt;=RES2_EFF,RES_UTIL,0)</f>
        <v/>
      </c>
      <c r="AR27" s="24">
        <f>IF(AR$4&gt;=RES2_EFF,RES_UTIL,0)</f>
        <v/>
      </c>
      <c r="AS27" s="24">
        <f>IF(AS$4&gt;=RES2_EFF,RES_UTIL,0)</f>
        <v/>
      </c>
      <c r="AT27" s="24">
        <f>IF(AT$4&gt;=RES2_EFF,RES_UTIL,0)</f>
        <v/>
      </c>
      <c r="AU27" s="24">
        <f>IF(AU$4&gt;=RES2_EFF,RES_UTIL,0)</f>
        <v/>
      </c>
      <c r="AV27" s="24">
        <f>IF(AV$4&gt;=RES2_EFF,RES_UTIL,0)</f>
        <v/>
      </c>
      <c r="AW27" s="24">
        <f>IF(AW$4&gt;=RES2_EFF,RES_UTIL,0)</f>
        <v/>
      </c>
      <c r="AX27" s="24">
        <f>IF(AX$4&gt;=RES2_EFF,RES_UTIL,0)</f>
        <v/>
      </c>
      <c r="AY27" s="24">
        <f>IF(AY$4&gt;=RES2_EFF,RES_UTIL,0)</f>
        <v/>
      </c>
      <c r="AZ27" s="24">
        <f>IF(AZ$4&gt;=RES2_EFF,RES_UTIL,0)</f>
        <v/>
      </c>
      <c r="BA27" s="24">
        <f>IF(BA$4&gt;=RES2_EFF,RES_UTIL,0)</f>
        <v/>
      </c>
      <c r="BB27" s="24">
        <f>IF(BB$4&gt;=RES2_EFF,RES_UTIL,0)</f>
        <v/>
      </c>
      <c r="BC27" s="24">
        <f>IF(BC$4&gt;=RES2_EFF,RES_UTIL,0)</f>
        <v/>
      </c>
      <c r="BD27" s="24">
        <f>IF(BD$4&gt;=RES2_EFF,RES_UTIL,0)</f>
        <v/>
      </c>
      <c r="BE27" s="24">
        <f>IF(BE$4&gt;=RES2_EFF,RES_UTIL,0)</f>
        <v/>
      </c>
      <c r="BF27" s="24">
        <f>IF(BF$4&gt;=RES2_EFF,RES_UTIL,0)</f>
        <v/>
      </c>
      <c r="BG27" s="24">
        <f>IF(BG$4&gt;=RES2_EFF,RES_UTIL,0)</f>
        <v/>
      </c>
      <c r="BH27" s="24">
        <f>IF(BH$4&gt;=RES2_EFF,RES_UTIL,0)</f>
        <v/>
      </c>
      <c r="BI27" s="24">
        <f>IF(BI$4&gt;=RES2_EFF,RES_UTIL,0)</f>
        <v/>
      </c>
      <c r="BJ27" s="24">
        <f>IF(BJ$4&gt;=RES2_EFF,RES_UTIL,0)</f>
        <v/>
      </c>
      <c r="BK27" s="24">
        <f>IF(BK$4&gt;=RES2_EFF,RES_UTIL,0)</f>
        <v/>
      </c>
    </row>
    <row r="28">
      <c r="A28" s="14" t="inlineStr">
        <is>
          <t>Residence two, insurance and maintenance</t>
        </is>
      </c>
      <c r="B28" s="3" t="inlineStr"/>
      <c r="C28" s="2" t="n"/>
      <c r="D28" s="24">
        <f>IF(D$4&gt;=RES2_EFF,RES_OTHER,0)</f>
        <v/>
      </c>
      <c r="E28" s="24">
        <f>IF(E$4&gt;=RES2_EFF,RES_OTHER,0)</f>
        <v/>
      </c>
      <c r="F28" s="24">
        <f>IF(F$4&gt;=RES2_EFF,RES_OTHER,0)</f>
        <v/>
      </c>
      <c r="G28" s="24">
        <f>IF(G$4&gt;=RES2_EFF,RES_OTHER,0)</f>
        <v/>
      </c>
      <c r="H28" s="24">
        <f>IF(H$4&gt;=RES2_EFF,RES_OTHER,0)</f>
        <v/>
      </c>
      <c r="I28" s="24">
        <f>IF(I$4&gt;=RES2_EFF,RES_OTHER,0)</f>
        <v/>
      </c>
      <c r="J28" s="24">
        <f>IF(J$4&gt;=RES2_EFF,RES_OTHER,0)</f>
        <v/>
      </c>
      <c r="K28" s="24">
        <f>IF(K$4&gt;=RES2_EFF,RES_OTHER,0)</f>
        <v/>
      </c>
      <c r="L28" s="24">
        <f>IF(L$4&gt;=RES2_EFF,RES_OTHER,0)</f>
        <v/>
      </c>
      <c r="M28" s="24">
        <f>IF(M$4&gt;=RES2_EFF,RES_OTHER,0)</f>
        <v/>
      </c>
      <c r="N28" s="24">
        <f>IF(N$4&gt;=RES2_EFF,RES_OTHER,0)</f>
        <v/>
      </c>
      <c r="O28" s="24">
        <f>IF(O$4&gt;=RES2_EFF,RES_OTHER,0)</f>
        <v/>
      </c>
      <c r="P28" s="24">
        <f>IF(P$4&gt;=RES2_EFF,RES_OTHER,0)</f>
        <v/>
      </c>
      <c r="Q28" s="24">
        <f>IF(Q$4&gt;=RES2_EFF,RES_OTHER,0)</f>
        <v/>
      </c>
      <c r="R28" s="24">
        <f>IF(R$4&gt;=RES2_EFF,RES_OTHER,0)</f>
        <v/>
      </c>
      <c r="S28" s="24">
        <f>IF(S$4&gt;=RES2_EFF,RES_OTHER,0)</f>
        <v/>
      </c>
      <c r="T28" s="24">
        <f>IF(T$4&gt;=RES2_EFF,RES_OTHER,0)</f>
        <v/>
      </c>
      <c r="U28" s="24">
        <f>IF(U$4&gt;=RES2_EFF,RES_OTHER,0)</f>
        <v/>
      </c>
      <c r="V28" s="24">
        <f>IF(V$4&gt;=RES2_EFF,RES_OTHER,0)</f>
        <v/>
      </c>
      <c r="W28" s="24">
        <f>IF(W$4&gt;=RES2_EFF,RES_OTHER,0)</f>
        <v/>
      </c>
      <c r="X28" s="24">
        <f>IF(X$4&gt;=RES2_EFF,RES_OTHER,0)</f>
        <v/>
      </c>
      <c r="Y28" s="24">
        <f>IF(Y$4&gt;=RES2_EFF,RES_OTHER,0)</f>
        <v/>
      </c>
      <c r="Z28" s="24">
        <f>IF(Z$4&gt;=RES2_EFF,RES_OTHER,0)</f>
        <v/>
      </c>
      <c r="AA28" s="24">
        <f>IF(AA$4&gt;=RES2_EFF,RES_OTHER,0)</f>
        <v/>
      </c>
      <c r="AB28" s="24">
        <f>IF(AB$4&gt;=RES2_EFF,RES_OTHER,0)</f>
        <v/>
      </c>
      <c r="AC28" s="24">
        <f>IF(AC$4&gt;=RES2_EFF,RES_OTHER,0)</f>
        <v/>
      </c>
      <c r="AD28" s="24">
        <f>IF(AD$4&gt;=RES2_EFF,RES_OTHER,0)</f>
        <v/>
      </c>
      <c r="AE28" s="24">
        <f>IF(AE$4&gt;=RES2_EFF,RES_OTHER,0)</f>
        <v/>
      </c>
      <c r="AF28" s="24">
        <f>IF(AF$4&gt;=RES2_EFF,RES_OTHER,0)</f>
        <v/>
      </c>
      <c r="AG28" s="24">
        <f>IF(AG$4&gt;=RES2_EFF,RES_OTHER,0)</f>
        <v/>
      </c>
      <c r="AH28" s="24">
        <f>IF(AH$4&gt;=RES2_EFF,RES_OTHER,0)</f>
        <v/>
      </c>
      <c r="AI28" s="24">
        <f>IF(AI$4&gt;=RES2_EFF,RES_OTHER,0)</f>
        <v/>
      </c>
      <c r="AJ28" s="24">
        <f>IF(AJ$4&gt;=RES2_EFF,RES_OTHER,0)</f>
        <v/>
      </c>
      <c r="AK28" s="24">
        <f>IF(AK$4&gt;=RES2_EFF,RES_OTHER,0)</f>
        <v/>
      </c>
      <c r="AL28" s="24">
        <f>IF(AL$4&gt;=RES2_EFF,RES_OTHER,0)</f>
        <v/>
      </c>
      <c r="AM28" s="24">
        <f>IF(AM$4&gt;=RES2_EFF,RES_OTHER,0)</f>
        <v/>
      </c>
      <c r="AN28" s="24">
        <f>IF(AN$4&gt;=RES2_EFF,RES_OTHER,0)</f>
        <v/>
      </c>
      <c r="AO28" s="24">
        <f>IF(AO$4&gt;=RES2_EFF,RES_OTHER,0)</f>
        <v/>
      </c>
      <c r="AP28" s="24">
        <f>IF(AP$4&gt;=RES2_EFF,RES_OTHER,0)</f>
        <v/>
      </c>
      <c r="AQ28" s="24">
        <f>IF(AQ$4&gt;=RES2_EFF,RES_OTHER,0)</f>
        <v/>
      </c>
      <c r="AR28" s="24">
        <f>IF(AR$4&gt;=RES2_EFF,RES_OTHER,0)</f>
        <v/>
      </c>
      <c r="AS28" s="24">
        <f>IF(AS$4&gt;=RES2_EFF,RES_OTHER,0)</f>
        <v/>
      </c>
      <c r="AT28" s="24">
        <f>IF(AT$4&gt;=RES2_EFF,RES_OTHER,0)</f>
        <v/>
      </c>
      <c r="AU28" s="24">
        <f>IF(AU$4&gt;=RES2_EFF,RES_OTHER,0)</f>
        <v/>
      </c>
      <c r="AV28" s="24">
        <f>IF(AV$4&gt;=RES2_EFF,RES_OTHER,0)</f>
        <v/>
      </c>
      <c r="AW28" s="24">
        <f>IF(AW$4&gt;=RES2_EFF,RES_OTHER,0)</f>
        <v/>
      </c>
      <c r="AX28" s="24">
        <f>IF(AX$4&gt;=RES2_EFF,RES_OTHER,0)</f>
        <v/>
      </c>
      <c r="AY28" s="24">
        <f>IF(AY$4&gt;=RES2_EFF,RES_OTHER,0)</f>
        <v/>
      </c>
      <c r="AZ28" s="24">
        <f>IF(AZ$4&gt;=RES2_EFF,RES_OTHER,0)</f>
        <v/>
      </c>
      <c r="BA28" s="24">
        <f>IF(BA$4&gt;=RES2_EFF,RES_OTHER,0)</f>
        <v/>
      </c>
      <c r="BB28" s="24">
        <f>IF(BB$4&gt;=RES2_EFF,RES_OTHER,0)</f>
        <v/>
      </c>
      <c r="BC28" s="24">
        <f>IF(BC$4&gt;=RES2_EFF,RES_OTHER,0)</f>
        <v/>
      </c>
      <c r="BD28" s="24">
        <f>IF(BD$4&gt;=RES2_EFF,RES_OTHER,0)</f>
        <v/>
      </c>
      <c r="BE28" s="24">
        <f>IF(BE$4&gt;=RES2_EFF,RES_OTHER,0)</f>
        <v/>
      </c>
      <c r="BF28" s="24">
        <f>IF(BF$4&gt;=RES2_EFF,RES_OTHER,0)</f>
        <v/>
      </c>
      <c r="BG28" s="24">
        <f>IF(BG$4&gt;=RES2_EFF,RES_OTHER,0)</f>
        <v/>
      </c>
      <c r="BH28" s="24">
        <f>IF(BH$4&gt;=RES2_EFF,RES_OTHER,0)</f>
        <v/>
      </c>
      <c r="BI28" s="24">
        <f>IF(BI$4&gt;=RES2_EFF,RES_OTHER,0)</f>
        <v/>
      </c>
      <c r="BJ28" s="24">
        <f>IF(BJ$4&gt;=RES2_EFF,RES_OTHER,0)</f>
        <v/>
      </c>
      <c r="BK28" s="24">
        <f>IF(BK$4&gt;=RES2_EFF,RES_OTHER,0)</f>
        <v/>
      </c>
    </row>
    <row r="29">
      <c r="A29" s="14" t="inlineStr">
        <is>
          <t>Mortuary, staffing</t>
        </is>
      </c>
      <c r="B29" s="3" t="inlineStr"/>
      <c r="C29" s="2" t="n"/>
      <c r="D29" s="24">
        <f>IF(D$4&gt;=MSTAFF_M2,MSTAFF_V2,IF(D$4&gt;=MSTAFF_M1,MSTAFF_V1,0))</f>
        <v/>
      </c>
      <c r="E29" s="24">
        <f>IF(E$4&gt;=MSTAFF_M2,MSTAFF_V2,IF(E$4&gt;=MSTAFF_M1,MSTAFF_V1,0))</f>
        <v/>
      </c>
      <c r="F29" s="24">
        <f>IF(F$4&gt;=MSTAFF_M2,MSTAFF_V2,IF(F$4&gt;=MSTAFF_M1,MSTAFF_V1,0))</f>
        <v/>
      </c>
      <c r="G29" s="24">
        <f>IF(G$4&gt;=MSTAFF_M2,MSTAFF_V2,IF(G$4&gt;=MSTAFF_M1,MSTAFF_V1,0))</f>
        <v/>
      </c>
      <c r="H29" s="24">
        <f>IF(H$4&gt;=MSTAFF_M2,MSTAFF_V2,IF(H$4&gt;=MSTAFF_M1,MSTAFF_V1,0))</f>
        <v/>
      </c>
      <c r="I29" s="24">
        <f>IF(I$4&gt;=MSTAFF_M2,MSTAFF_V2,IF(I$4&gt;=MSTAFF_M1,MSTAFF_V1,0))</f>
        <v/>
      </c>
      <c r="J29" s="24">
        <f>IF(J$4&gt;=MSTAFF_M2,MSTAFF_V2,IF(J$4&gt;=MSTAFF_M1,MSTAFF_V1,0))</f>
        <v/>
      </c>
      <c r="K29" s="24">
        <f>IF(K$4&gt;=MSTAFF_M2,MSTAFF_V2,IF(K$4&gt;=MSTAFF_M1,MSTAFF_V1,0))</f>
        <v/>
      </c>
      <c r="L29" s="24">
        <f>IF(L$4&gt;=MSTAFF_M2,MSTAFF_V2,IF(L$4&gt;=MSTAFF_M1,MSTAFF_V1,0))</f>
        <v/>
      </c>
      <c r="M29" s="24">
        <f>IF(M$4&gt;=MSTAFF_M2,MSTAFF_V2,IF(M$4&gt;=MSTAFF_M1,MSTAFF_V1,0))</f>
        <v/>
      </c>
      <c r="N29" s="24">
        <f>IF(N$4&gt;=MSTAFF_M2,MSTAFF_V2,IF(N$4&gt;=MSTAFF_M1,MSTAFF_V1,0))</f>
        <v/>
      </c>
      <c r="O29" s="24">
        <f>IF(O$4&gt;=MSTAFF_M2,MSTAFF_V2,IF(O$4&gt;=MSTAFF_M1,MSTAFF_V1,0))</f>
        <v/>
      </c>
      <c r="P29" s="24">
        <f>IF(P$4&gt;=MSTAFF_M2,MSTAFF_V2,IF(P$4&gt;=MSTAFF_M1,MSTAFF_V1,0))</f>
        <v/>
      </c>
      <c r="Q29" s="24">
        <f>IF(Q$4&gt;=MSTAFF_M2,MSTAFF_V2,IF(Q$4&gt;=MSTAFF_M1,MSTAFF_V1,0))</f>
        <v/>
      </c>
      <c r="R29" s="24">
        <f>IF(R$4&gt;=MSTAFF_M2,MSTAFF_V2,IF(R$4&gt;=MSTAFF_M1,MSTAFF_V1,0))</f>
        <v/>
      </c>
      <c r="S29" s="24">
        <f>IF(S$4&gt;=MSTAFF_M2,MSTAFF_V2,IF(S$4&gt;=MSTAFF_M1,MSTAFF_V1,0))</f>
        <v/>
      </c>
      <c r="T29" s="24">
        <f>IF(T$4&gt;=MSTAFF_M2,MSTAFF_V2,IF(T$4&gt;=MSTAFF_M1,MSTAFF_V1,0))</f>
        <v/>
      </c>
      <c r="U29" s="24">
        <f>IF(U$4&gt;=MSTAFF_M2,MSTAFF_V2,IF(U$4&gt;=MSTAFF_M1,MSTAFF_V1,0))</f>
        <v/>
      </c>
      <c r="V29" s="24">
        <f>IF(V$4&gt;=MSTAFF_M2,MSTAFF_V2,IF(V$4&gt;=MSTAFF_M1,MSTAFF_V1,0))</f>
        <v/>
      </c>
      <c r="W29" s="24">
        <f>IF(W$4&gt;=MSTAFF_M2,MSTAFF_V2,IF(W$4&gt;=MSTAFF_M1,MSTAFF_V1,0))</f>
        <v/>
      </c>
      <c r="X29" s="24">
        <f>IF(X$4&gt;=MSTAFF_M2,MSTAFF_V2,IF(X$4&gt;=MSTAFF_M1,MSTAFF_V1,0))</f>
        <v/>
      </c>
      <c r="Y29" s="24">
        <f>IF(Y$4&gt;=MSTAFF_M2,MSTAFF_V2,IF(Y$4&gt;=MSTAFF_M1,MSTAFF_V1,0))</f>
        <v/>
      </c>
      <c r="Z29" s="24">
        <f>IF(Z$4&gt;=MSTAFF_M2,MSTAFF_V2,IF(Z$4&gt;=MSTAFF_M1,MSTAFF_V1,0))</f>
        <v/>
      </c>
      <c r="AA29" s="24">
        <f>IF(AA$4&gt;=MSTAFF_M2,MSTAFF_V2,IF(AA$4&gt;=MSTAFF_M1,MSTAFF_V1,0))</f>
        <v/>
      </c>
      <c r="AB29" s="24">
        <f>IF(AB$4&gt;=MSTAFF_M2,MSTAFF_V2,IF(AB$4&gt;=MSTAFF_M1,MSTAFF_V1,0))</f>
        <v/>
      </c>
      <c r="AC29" s="24">
        <f>IF(AC$4&gt;=MSTAFF_M2,MSTAFF_V2,IF(AC$4&gt;=MSTAFF_M1,MSTAFF_V1,0))</f>
        <v/>
      </c>
      <c r="AD29" s="24">
        <f>IF(AD$4&gt;=MSTAFF_M2,MSTAFF_V2,IF(AD$4&gt;=MSTAFF_M1,MSTAFF_V1,0))</f>
        <v/>
      </c>
      <c r="AE29" s="24">
        <f>IF(AE$4&gt;=MSTAFF_M2,MSTAFF_V2,IF(AE$4&gt;=MSTAFF_M1,MSTAFF_V1,0))</f>
        <v/>
      </c>
      <c r="AF29" s="24">
        <f>IF(AF$4&gt;=MSTAFF_M2,MSTAFF_V2,IF(AF$4&gt;=MSTAFF_M1,MSTAFF_V1,0))</f>
        <v/>
      </c>
      <c r="AG29" s="24">
        <f>IF(AG$4&gt;=MSTAFF_M2,MSTAFF_V2,IF(AG$4&gt;=MSTAFF_M1,MSTAFF_V1,0))</f>
        <v/>
      </c>
      <c r="AH29" s="24">
        <f>IF(AH$4&gt;=MSTAFF_M2,MSTAFF_V2,IF(AH$4&gt;=MSTAFF_M1,MSTAFF_V1,0))</f>
        <v/>
      </c>
      <c r="AI29" s="24">
        <f>IF(AI$4&gt;=MSTAFF_M2,MSTAFF_V2,IF(AI$4&gt;=MSTAFF_M1,MSTAFF_V1,0))</f>
        <v/>
      </c>
      <c r="AJ29" s="24">
        <f>IF(AJ$4&gt;=MSTAFF_M2,MSTAFF_V2,IF(AJ$4&gt;=MSTAFF_M1,MSTAFF_V1,0))</f>
        <v/>
      </c>
      <c r="AK29" s="24">
        <f>IF(AK$4&gt;=MSTAFF_M2,MSTAFF_V2,IF(AK$4&gt;=MSTAFF_M1,MSTAFF_V1,0))</f>
        <v/>
      </c>
      <c r="AL29" s="24">
        <f>IF(AL$4&gt;=MSTAFF_M2,MSTAFF_V2,IF(AL$4&gt;=MSTAFF_M1,MSTAFF_V1,0))</f>
        <v/>
      </c>
      <c r="AM29" s="24">
        <f>IF(AM$4&gt;=MSTAFF_M2,MSTAFF_V2,IF(AM$4&gt;=MSTAFF_M1,MSTAFF_V1,0))</f>
        <v/>
      </c>
      <c r="AN29" s="24">
        <f>IF(AN$4&gt;=MSTAFF_M2,MSTAFF_V2,IF(AN$4&gt;=MSTAFF_M1,MSTAFF_V1,0))</f>
        <v/>
      </c>
      <c r="AO29" s="24">
        <f>IF(AO$4&gt;=MSTAFF_M2,MSTAFF_V2,IF(AO$4&gt;=MSTAFF_M1,MSTAFF_V1,0))</f>
        <v/>
      </c>
      <c r="AP29" s="24">
        <f>IF(AP$4&gt;=MSTAFF_M2,MSTAFF_V2,IF(AP$4&gt;=MSTAFF_M1,MSTAFF_V1,0))</f>
        <v/>
      </c>
      <c r="AQ29" s="24">
        <f>IF(AQ$4&gt;=MSTAFF_M2,MSTAFF_V2,IF(AQ$4&gt;=MSTAFF_M1,MSTAFF_V1,0))</f>
        <v/>
      </c>
      <c r="AR29" s="24">
        <f>IF(AR$4&gt;=MSTAFF_M2,MSTAFF_V2,IF(AR$4&gt;=MSTAFF_M1,MSTAFF_V1,0))</f>
        <v/>
      </c>
      <c r="AS29" s="24">
        <f>IF(AS$4&gt;=MSTAFF_M2,MSTAFF_V2,IF(AS$4&gt;=MSTAFF_M1,MSTAFF_V1,0))</f>
        <v/>
      </c>
      <c r="AT29" s="24">
        <f>IF(AT$4&gt;=MSTAFF_M2,MSTAFF_V2,IF(AT$4&gt;=MSTAFF_M1,MSTAFF_V1,0))</f>
        <v/>
      </c>
      <c r="AU29" s="24">
        <f>IF(AU$4&gt;=MSTAFF_M2,MSTAFF_V2,IF(AU$4&gt;=MSTAFF_M1,MSTAFF_V1,0))</f>
        <v/>
      </c>
      <c r="AV29" s="24">
        <f>IF(AV$4&gt;=MSTAFF_M2,MSTAFF_V2,IF(AV$4&gt;=MSTAFF_M1,MSTAFF_V1,0))</f>
        <v/>
      </c>
      <c r="AW29" s="24">
        <f>IF(AW$4&gt;=MSTAFF_M2,MSTAFF_V2,IF(AW$4&gt;=MSTAFF_M1,MSTAFF_V1,0))</f>
        <v/>
      </c>
      <c r="AX29" s="24">
        <f>IF(AX$4&gt;=MSTAFF_M2,MSTAFF_V2,IF(AX$4&gt;=MSTAFF_M1,MSTAFF_V1,0))</f>
        <v/>
      </c>
      <c r="AY29" s="24">
        <f>IF(AY$4&gt;=MSTAFF_M2,MSTAFF_V2,IF(AY$4&gt;=MSTAFF_M1,MSTAFF_V1,0))</f>
        <v/>
      </c>
      <c r="AZ29" s="24">
        <f>IF(AZ$4&gt;=MSTAFF_M2,MSTAFF_V2,IF(AZ$4&gt;=MSTAFF_M1,MSTAFF_V1,0))</f>
        <v/>
      </c>
      <c r="BA29" s="24">
        <f>IF(BA$4&gt;=MSTAFF_M2,MSTAFF_V2,IF(BA$4&gt;=MSTAFF_M1,MSTAFF_V1,0))</f>
        <v/>
      </c>
      <c r="BB29" s="24">
        <f>IF(BB$4&gt;=MSTAFF_M2,MSTAFF_V2,IF(BB$4&gt;=MSTAFF_M1,MSTAFF_V1,0))</f>
        <v/>
      </c>
      <c r="BC29" s="24">
        <f>IF(BC$4&gt;=MSTAFF_M2,MSTAFF_V2,IF(BC$4&gt;=MSTAFF_M1,MSTAFF_V1,0))</f>
        <v/>
      </c>
      <c r="BD29" s="24">
        <f>IF(BD$4&gt;=MSTAFF_M2,MSTAFF_V2,IF(BD$4&gt;=MSTAFF_M1,MSTAFF_V1,0))</f>
        <v/>
      </c>
      <c r="BE29" s="24">
        <f>IF(BE$4&gt;=MSTAFF_M2,MSTAFF_V2,IF(BE$4&gt;=MSTAFF_M1,MSTAFF_V1,0))</f>
        <v/>
      </c>
      <c r="BF29" s="24">
        <f>IF(BF$4&gt;=MSTAFF_M2,MSTAFF_V2,IF(BF$4&gt;=MSTAFF_M1,MSTAFF_V1,0))</f>
        <v/>
      </c>
      <c r="BG29" s="24">
        <f>IF(BG$4&gt;=MSTAFF_M2,MSTAFF_V2,IF(BG$4&gt;=MSTAFF_M1,MSTAFF_V1,0))</f>
        <v/>
      </c>
      <c r="BH29" s="24">
        <f>IF(BH$4&gt;=MSTAFF_M2,MSTAFF_V2,IF(BH$4&gt;=MSTAFF_M1,MSTAFF_V1,0))</f>
        <v/>
      </c>
      <c r="BI29" s="24">
        <f>IF(BI$4&gt;=MSTAFF_M2,MSTAFF_V2,IF(BI$4&gt;=MSTAFF_M1,MSTAFF_V1,0))</f>
        <v/>
      </c>
      <c r="BJ29" s="24">
        <f>IF(BJ$4&gt;=MSTAFF_M2,MSTAFF_V2,IF(BJ$4&gt;=MSTAFF_M1,MSTAFF_V1,0))</f>
        <v/>
      </c>
      <c r="BK29" s="24">
        <f>IF(BK$4&gt;=MSTAFF_M2,MSTAFF_V2,IF(BK$4&gt;=MSTAFF_M1,MSTAFF_V1,0))</f>
        <v/>
      </c>
    </row>
    <row r="30">
      <c r="A30" s="14" t="inlineStr">
        <is>
          <t>Mortuary, power</t>
        </is>
      </c>
      <c r="B30" s="3" t="inlineStr"/>
      <c r="C30" s="2" t="n"/>
      <c r="D30" s="24">
        <f>IF(D$4&gt;=MPOWER_M2,MPOWER_V2,IF(D$4&gt;=MPOWER_M1,MPOWER_V1,0))</f>
        <v/>
      </c>
      <c r="E30" s="24">
        <f>IF(E$4&gt;=MPOWER_M2,MPOWER_V2,IF(E$4&gt;=MPOWER_M1,MPOWER_V1,0))</f>
        <v/>
      </c>
      <c r="F30" s="24">
        <f>IF(F$4&gt;=MPOWER_M2,MPOWER_V2,IF(F$4&gt;=MPOWER_M1,MPOWER_V1,0))</f>
        <v/>
      </c>
      <c r="G30" s="24">
        <f>IF(G$4&gt;=MPOWER_M2,MPOWER_V2,IF(G$4&gt;=MPOWER_M1,MPOWER_V1,0))</f>
        <v/>
      </c>
      <c r="H30" s="24">
        <f>IF(H$4&gt;=MPOWER_M2,MPOWER_V2,IF(H$4&gt;=MPOWER_M1,MPOWER_V1,0))</f>
        <v/>
      </c>
      <c r="I30" s="24">
        <f>IF(I$4&gt;=MPOWER_M2,MPOWER_V2,IF(I$4&gt;=MPOWER_M1,MPOWER_V1,0))</f>
        <v/>
      </c>
      <c r="J30" s="24">
        <f>IF(J$4&gt;=MPOWER_M2,MPOWER_V2,IF(J$4&gt;=MPOWER_M1,MPOWER_V1,0))</f>
        <v/>
      </c>
      <c r="K30" s="24">
        <f>IF(K$4&gt;=MPOWER_M2,MPOWER_V2,IF(K$4&gt;=MPOWER_M1,MPOWER_V1,0))</f>
        <v/>
      </c>
      <c r="L30" s="24">
        <f>IF(L$4&gt;=MPOWER_M2,MPOWER_V2,IF(L$4&gt;=MPOWER_M1,MPOWER_V1,0))</f>
        <v/>
      </c>
      <c r="M30" s="24">
        <f>IF(M$4&gt;=MPOWER_M2,MPOWER_V2,IF(M$4&gt;=MPOWER_M1,MPOWER_V1,0))</f>
        <v/>
      </c>
      <c r="N30" s="24">
        <f>IF(N$4&gt;=MPOWER_M2,MPOWER_V2,IF(N$4&gt;=MPOWER_M1,MPOWER_V1,0))</f>
        <v/>
      </c>
      <c r="O30" s="24">
        <f>IF(O$4&gt;=MPOWER_M2,MPOWER_V2,IF(O$4&gt;=MPOWER_M1,MPOWER_V1,0))</f>
        <v/>
      </c>
      <c r="P30" s="24">
        <f>IF(P$4&gt;=MPOWER_M2,MPOWER_V2,IF(P$4&gt;=MPOWER_M1,MPOWER_V1,0))</f>
        <v/>
      </c>
      <c r="Q30" s="24">
        <f>IF(Q$4&gt;=MPOWER_M2,MPOWER_V2,IF(Q$4&gt;=MPOWER_M1,MPOWER_V1,0))</f>
        <v/>
      </c>
      <c r="R30" s="24">
        <f>IF(R$4&gt;=MPOWER_M2,MPOWER_V2,IF(R$4&gt;=MPOWER_M1,MPOWER_V1,0))</f>
        <v/>
      </c>
      <c r="S30" s="24">
        <f>IF(S$4&gt;=MPOWER_M2,MPOWER_V2,IF(S$4&gt;=MPOWER_M1,MPOWER_V1,0))</f>
        <v/>
      </c>
      <c r="T30" s="24">
        <f>IF(T$4&gt;=MPOWER_M2,MPOWER_V2,IF(T$4&gt;=MPOWER_M1,MPOWER_V1,0))</f>
        <v/>
      </c>
      <c r="U30" s="24">
        <f>IF(U$4&gt;=MPOWER_M2,MPOWER_V2,IF(U$4&gt;=MPOWER_M1,MPOWER_V1,0))</f>
        <v/>
      </c>
      <c r="V30" s="24">
        <f>IF(V$4&gt;=MPOWER_M2,MPOWER_V2,IF(V$4&gt;=MPOWER_M1,MPOWER_V1,0))</f>
        <v/>
      </c>
      <c r="W30" s="24">
        <f>IF(W$4&gt;=MPOWER_M2,MPOWER_V2,IF(W$4&gt;=MPOWER_M1,MPOWER_V1,0))</f>
        <v/>
      </c>
      <c r="X30" s="24">
        <f>IF(X$4&gt;=MPOWER_M2,MPOWER_V2,IF(X$4&gt;=MPOWER_M1,MPOWER_V1,0))</f>
        <v/>
      </c>
      <c r="Y30" s="24">
        <f>IF(Y$4&gt;=MPOWER_M2,MPOWER_V2,IF(Y$4&gt;=MPOWER_M1,MPOWER_V1,0))</f>
        <v/>
      </c>
      <c r="Z30" s="24">
        <f>IF(Z$4&gt;=MPOWER_M2,MPOWER_V2,IF(Z$4&gt;=MPOWER_M1,MPOWER_V1,0))</f>
        <v/>
      </c>
      <c r="AA30" s="24">
        <f>IF(AA$4&gt;=MPOWER_M2,MPOWER_V2,IF(AA$4&gt;=MPOWER_M1,MPOWER_V1,0))</f>
        <v/>
      </c>
      <c r="AB30" s="24">
        <f>IF(AB$4&gt;=MPOWER_M2,MPOWER_V2,IF(AB$4&gt;=MPOWER_M1,MPOWER_V1,0))</f>
        <v/>
      </c>
      <c r="AC30" s="24">
        <f>IF(AC$4&gt;=MPOWER_M2,MPOWER_V2,IF(AC$4&gt;=MPOWER_M1,MPOWER_V1,0))</f>
        <v/>
      </c>
      <c r="AD30" s="24">
        <f>IF(AD$4&gt;=MPOWER_M2,MPOWER_V2,IF(AD$4&gt;=MPOWER_M1,MPOWER_V1,0))</f>
        <v/>
      </c>
      <c r="AE30" s="24">
        <f>IF(AE$4&gt;=MPOWER_M2,MPOWER_V2,IF(AE$4&gt;=MPOWER_M1,MPOWER_V1,0))</f>
        <v/>
      </c>
      <c r="AF30" s="24">
        <f>IF(AF$4&gt;=MPOWER_M2,MPOWER_V2,IF(AF$4&gt;=MPOWER_M1,MPOWER_V1,0))</f>
        <v/>
      </c>
      <c r="AG30" s="24">
        <f>IF(AG$4&gt;=MPOWER_M2,MPOWER_V2,IF(AG$4&gt;=MPOWER_M1,MPOWER_V1,0))</f>
        <v/>
      </c>
      <c r="AH30" s="24">
        <f>IF(AH$4&gt;=MPOWER_M2,MPOWER_V2,IF(AH$4&gt;=MPOWER_M1,MPOWER_V1,0))</f>
        <v/>
      </c>
      <c r="AI30" s="24">
        <f>IF(AI$4&gt;=MPOWER_M2,MPOWER_V2,IF(AI$4&gt;=MPOWER_M1,MPOWER_V1,0))</f>
        <v/>
      </c>
      <c r="AJ30" s="24">
        <f>IF(AJ$4&gt;=MPOWER_M2,MPOWER_V2,IF(AJ$4&gt;=MPOWER_M1,MPOWER_V1,0))</f>
        <v/>
      </c>
      <c r="AK30" s="24">
        <f>IF(AK$4&gt;=MPOWER_M2,MPOWER_V2,IF(AK$4&gt;=MPOWER_M1,MPOWER_V1,0))</f>
        <v/>
      </c>
      <c r="AL30" s="24">
        <f>IF(AL$4&gt;=MPOWER_M2,MPOWER_V2,IF(AL$4&gt;=MPOWER_M1,MPOWER_V1,0))</f>
        <v/>
      </c>
      <c r="AM30" s="24">
        <f>IF(AM$4&gt;=MPOWER_M2,MPOWER_V2,IF(AM$4&gt;=MPOWER_M1,MPOWER_V1,0))</f>
        <v/>
      </c>
      <c r="AN30" s="24">
        <f>IF(AN$4&gt;=MPOWER_M2,MPOWER_V2,IF(AN$4&gt;=MPOWER_M1,MPOWER_V1,0))</f>
        <v/>
      </c>
      <c r="AO30" s="24">
        <f>IF(AO$4&gt;=MPOWER_M2,MPOWER_V2,IF(AO$4&gt;=MPOWER_M1,MPOWER_V1,0))</f>
        <v/>
      </c>
      <c r="AP30" s="24">
        <f>IF(AP$4&gt;=MPOWER_M2,MPOWER_V2,IF(AP$4&gt;=MPOWER_M1,MPOWER_V1,0))</f>
        <v/>
      </c>
      <c r="AQ30" s="24">
        <f>IF(AQ$4&gt;=MPOWER_M2,MPOWER_V2,IF(AQ$4&gt;=MPOWER_M1,MPOWER_V1,0))</f>
        <v/>
      </c>
      <c r="AR30" s="24">
        <f>IF(AR$4&gt;=MPOWER_M2,MPOWER_V2,IF(AR$4&gt;=MPOWER_M1,MPOWER_V1,0))</f>
        <v/>
      </c>
      <c r="AS30" s="24">
        <f>IF(AS$4&gt;=MPOWER_M2,MPOWER_V2,IF(AS$4&gt;=MPOWER_M1,MPOWER_V1,0))</f>
        <v/>
      </c>
      <c r="AT30" s="24">
        <f>IF(AT$4&gt;=MPOWER_M2,MPOWER_V2,IF(AT$4&gt;=MPOWER_M1,MPOWER_V1,0))</f>
        <v/>
      </c>
      <c r="AU30" s="24">
        <f>IF(AU$4&gt;=MPOWER_M2,MPOWER_V2,IF(AU$4&gt;=MPOWER_M1,MPOWER_V1,0))</f>
        <v/>
      </c>
      <c r="AV30" s="24">
        <f>IF(AV$4&gt;=MPOWER_M2,MPOWER_V2,IF(AV$4&gt;=MPOWER_M1,MPOWER_V1,0))</f>
        <v/>
      </c>
      <c r="AW30" s="24">
        <f>IF(AW$4&gt;=MPOWER_M2,MPOWER_V2,IF(AW$4&gt;=MPOWER_M1,MPOWER_V1,0))</f>
        <v/>
      </c>
      <c r="AX30" s="24">
        <f>IF(AX$4&gt;=MPOWER_M2,MPOWER_V2,IF(AX$4&gt;=MPOWER_M1,MPOWER_V1,0))</f>
        <v/>
      </c>
      <c r="AY30" s="24">
        <f>IF(AY$4&gt;=MPOWER_M2,MPOWER_V2,IF(AY$4&gt;=MPOWER_M1,MPOWER_V1,0))</f>
        <v/>
      </c>
      <c r="AZ30" s="24">
        <f>IF(AZ$4&gt;=MPOWER_M2,MPOWER_V2,IF(AZ$4&gt;=MPOWER_M1,MPOWER_V1,0))</f>
        <v/>
      </c>
      <c r="BA30" s="24">
        <f>IF(BA$4&gt;=MPOWER_M2,MPOWER_V2,IF(BA$4&gt;=MPOWER_M1,MPOWER_V1,0))</f>
        <v/>
      </c>
      <c r="BB30" s="24">
        <f>IF(BB$4&gt;=MPOWER_M2,MPOWER_V2,IF(BB$4&gt;=MPOWER_M1,MPOWER_V1,0))</f>
        <v/>
      </c>
      <c r="BC30" s="24">
        <f>IF(BC$4&gt;=MPOWER_M2,MPOWER_V2,IF(BC$4&gt;=MPOWER_M1,MPOWER_V1,0))</f>
        <v/>
      </c>
      <c r="BD30" s="24">
        <f>IF(BD$4&gt;=MPOWER_M2,MPOWER_V2,IF(BD$4&gt;=MPOWER_M1,MPOWER_V1,0))</f>
        <v/>
      </c>
      <c r="BE30" s="24">
        <f>IF(BE$4&gt;=MPOWER_M2,MPOWER_V2,IF(BE$4&gt;=MPOWER_M1,MPOWER_V1,0))</f>
        <v/>
      </c>
      <c r="BF30" s="24">
        <f>IF(BF$4&gt;=MPOWER_M2,MPOWER_V2,IF(BF$4&gt;=MPOWER_M1,MPOWER_V1,0))</f>
        <v/>
      </c>
      <c r="BG30" s="24">
        <f>IF(BG$4&gt;=MPOWER_M2,MPOWER_V2,IF(BG$4&gt;=MPOWER_M1,MPOWER_V1,0))</f>
        <v/>
      </c>
      <c r="BH30" s="24">
        <f>IF(BH$4&gt;=MPOWER_M2,MPOWER_V2,IF(BH$4&gt;=MPOWER_M1,MPOWER_V1,0))</f>
        <v/>
      </c>
      <c r="BI30" s="24">
        <f>IF(BI$4&gt;=MPOWER_M2,MPOWER_V2,IF(BI$4&gt;=MPOWER_M1,MPOWER_V1,0))</f>
        <v/>
      </c>
      <c r="BJ30" s="24">
        <f>IF(BJ$4&gt;=MPOWER_M2,MPOWER_V2,IF(BJ$4&gt;=MPOWER_M1,MPOWER_V1,0))</f>
        <v/>
      </c>
      <c r="BK30" s="24">
        <f>IF(BK$4&gt;=MPOWER_M2,MPOWER_V2,IF(BK$4&gt;=MPOWER_M1,MPOWER_V1,0))</f>
        <v/>
      </c>
    </row>
    <row r="31">
      <c r="A31" s="14" t="inlineStr">
        <is>
          <t>Mortuary, other running costs</t>
        </is>
      </c>
      <c r="B31" s="3" t="inlineStr"/>
      <c r="C31" s="2" t="n"/>
      <c r="D31" s="24">
        <f>IF(D$4&gt;=MORT_OPEN,MORT_OTHER,0)</f>
        <v/>
      </c>
      <c r="E31" s="24">
        <f>IF(E$4&gt;=MORT_OPEN,MORT_OTHER,0)</f>
        <v/>
      </c>
      <c r="F31" s="24">
        <f>IF(F$4&gt;=MORT_OPEN,MORT_OTHER,0)</f>
        <v/>
      </c>
      <c r="G31" s="24">
        <f>IF(G$4&gt;=MORT_OPEN,MORT_OTHER,0)</f>
        <v/>
      </c>
      <c r="H31" s="24">
        <f>IF(H$4&gt;=MORT_OPEN,MORT_OTHER,0)</f>
        <v/>
      </c>
      <c r="I31" s="24">
        <f>IF(I$4&gt;=MORT_OPEN,MORT_OTHER,0)</f>
        <v/>
      </c>
      <c r="J31" s="24">
        <f>IF(J$4&gt;=MORT_OPEN,MORT_OTHER,0)</f>
        <v/>
      </c>
      <c r="K31" s="24">
        <f>IF(K$4&gt;=MORT_OPEN,MORT_OTHER,0)</f>
        <v/>
      </c>
      <c r="L31" s="24">
        <f>IF(L$4&gt;=MORT_OPEN,MORT_OTHER,0)</f>
        <v/>
      </c>
      <c r="M31" s="24">
        <f>IF(M$4&gt;=MORT_OPEN,MORT_OTHER,0)</f>
        <v/>
      </c>
      <c r="N31" s="24">
        <f>IF(N$4&gt;=MORT_OPEN,MORT_OTHER,0)</f>
        <v/>
      </c>
      <c r="O31" s="24">
        <f>IF(O$4&gt;=MORT_OPEN,MORT_OTHER,0)</f>
        <v/>
      </c>
      <c r="P31" s="24">
        <f>IF(P$4&gt;=MORT_OPEN,MORT_OTHER,0)</f>
        <v/>
      </c>
      <c r="Q31" s="24">
        <f>IF(Q$4&gt;=MORT_OPEN,MORT_OTHER,0)</f>
        <v/>
      </c>
      <c r="R31" s="24">
        <f>IF(R$4&gt;=MORT_OPEN,MORT_OTHER,0)</f>
        <v/>
      </c>
      <c r="S31" s="24">
        <f>IF(S$4&gt;=MORT_OPEN,MORT_OTHER,0)</f>
        <v/>
      </c>
      <c r="T31" s="24">
        <f>IF(T$4&gt;=MORT_OPEN,MORT_OTHER,0)</f>
        <v/>
      </c>
      <c r="U31" s="24">
        <f>IF(U$4&gt;=MORT_OPEN,MORT_OTHER,0)</f>
        <v/>
      </c>
      <c r="V31" s="24">
        <f>IF(V$4&gt;=MORT_OPEN,MORT_OTHER,0)</f>
        <v/>
      </c>
      <c r="W31" s="24">
        <f>IF(W$4&gt;=MORT_OPEN,MORT_OTHER,0)</f>
        <v/>
      </c>
      <c r="X31" s="24">
        <f>IF(X$4&gt;=MORT_OPEN,MORT_OTHER,0)</f>
        <v/>
      </c>
      <c r="Y31" s="24">
        <f>IF(Y$4&gt;=MORT_OPEN,MORT_OTHER,0)</f>
        <v/>
      </c>
      <c r="Z31" s="24">
        <f>IF(Z$4&gt;=MORT_OPEN,MORT_OTHER,0)</f>
        <v/>
      </c>
      <c r="AA31" s="24">
        <f>IF(AA$4&gt;=MORT_OPEN,MORT_OTHER,0)</f>
        <v/>
      </c>
      <c r="AB31" s="24">
        <f>IF(AB$4&gt;=MORT_OPEN,MORT_OTHER,0)</f>
        <v/>
      </c>
      <c r="AC31" s="24">
        <f>IF(AC$4&gt;=MORT_OPEN,MORT_OTHER,0)</f>
        <v/>
      </c>
      <c r="AD31" s="24">
        <f>IF(AD$4&gt;=MORT_OPEN,MORT_OTHER,0)</f>
        <v/>
      </c>
      <c r="AE31" s="24">
        <f>IF(AE$4&gt;=MORT_OPEN,MORT_OTHER,0)</f>
        <v/>
      </c>
      <c r="AF31" s="24">
        <f>IF(AF$4&gt;=MORT_OPEN,MORT_OTHER,0)</f>
        <v/>
      </c>
      <c r="AG31" s="24">
        <f>IF(AG$4&gt;=MORT_OPEN,MORT_OTHER,0)</f>
        <v/>
      </c>
      <c r="AH31" s="24">
        <f>IF(AH$4&gt;=MORT_OPEN,MORT_OTHER,0)</f>
        <v/>
      </c>
      <c r="AI31" s="24">
        <f>IF(AI$4&gt;=MORT_OPEN,MORT_OTHER,0)</f>
        <v/>
      </c>
      <c r="AJ31" s="24">
        <f>IF(AJ$4&gt;=MORT_OPEN,MORT_OTHER,0)</f>
        <v/>
      </c>
      <c r="AK31" s="24">
        <f>IF(AK$4&gt;=MORT_OPEN,MORT_OTHER,0)</f>
        <v/>
      </c>
      <c r="AL31" s="24">
        <f>IF(AL$4&gt;=MORT_OPEN,MORT_OTHER,0)</f>
        <v/>
      </c>
      <c r="AM31" s="24">
        <f>IF(AM$4&gt;=MORT_OPEN,MORT_OTHER,0)</f>
        <v/>
      </c>
      <c r="AN31" s="24">
        <f>IF(AN$4&gt;=MORT_OPEN,MORT_OTHER,0)</f>
        <v/>
      </c>
      <c r="AO31" s="24">
        <f>IF(AO$4&gt;=MORT_OPEN,MORT_OTHER,0)</f>
        <v/>
      </c>
      <c r="AP31" s="24">
        <f>IF(AP$4&gt;=MORT_OPEN,MORT_OTHER,0)</f>
        <v/>
      </c>
      <c r="AQ31" s="24">
        <f>IF(AQ$4&gt;=MORT_OPEN,MORT_OTHER,0)</f>
        <v/>
      </c>
      <c r="AR31" s="24">
        <f>IF(AR$4&gt;=MORT_OPEN,MORT_OTHER,0)</f>
        <v/>
      </c>
      <c r="AS31" s="24">
        <f>IF(AS$4&gt;=MORT_OPEN,MORT_OTHER,0)</f>
        <v/>
      </c>
      <c r="AT31" s="24">
        <f>IF(AT$4&gt;=MORT_OPEN,MORT_OTHER,0)</f>
        <v/>
      </c>
      <c r="AU31" s="24">
        <f>IF(AU$4&gt;=MORT_OPEN,MORT_OTHER,0)</f>
        <v/>
      </c>
      <c r="AV31" s="24">
        <f>IF(AV$4&gt;=MORT_OPEN,MORT_OTHER,0)</f>
        <v/>
      </c>
      <c r="AW31" s="24">
        <f>IF(AW$4&gt;=MORT_OPEN,MORT_OTHER,0)</f>
        <v/>
      </c>
      <c r="AX31" s="24">
        <f>IF(AX$4&gt;=MORT_OPEN,MORT_OTHER,0)</f>
        <v/>
      </c>
      <c r="AY31" s="24">
        <f>IF(AY$4&gt;=MORT_OPEN,MORT_OTHER,0)</f>
        <v/>
      </c>
      <c r="AZ31" s="24">
        <f>IF(AZ$4&gt;=MORT_OPEN,MORT_OTHER,0)</f>
        <v/>
      </c>
      <c r="BA31" s="24">
        <f>IF(BA$4&gt;=MORT_OPEN,MORT_OTHER,0)</f>
        <v/>
      </c>
      <c r="BB31" s="24">
        <f>IF(BB$4&gt;=MORT_OPEN,MORT_OTHER,0)</f>
        <v/>
      </c>
      <c r="BC31" s="24">
        <f>IF(BC$4&gt;=MORT_OPEN,MORT_OTHER,0)</f>
        <v/>
      </c>
      <c r="BD31" s="24">
        <f>IF(BD$4&gt;=MORT_OPEN,MORT_OTHER,0)</f>
        <v/>
      </c>
      <c r="BE31" s="24">
        <f>IF(BE$4&gt;=MORT_OPEN,MORT_OTHER,0)</f>
        <v/>
      </c>
      <c r="BF31" s="24">
        <f>IF(BF$4&gt;=MORT_OPEN,MORT_OTHER,0)</f>
        <v/>
      </c>
      <c r="BG31" s="24">
        <f>IF(BG$4&gt;=MORT_OPEN,MORT_OTHER,0)</f>
        <v/>
      </c>
      <c r="BH31" s="24">
        <f>IF(BH$4&gt;=MORT_OPEN,MORT_OTHER,0)</f>
        <v/>
      </c>
      <c r="BI31" s="24">
        <f>IF(BI$4&gt;=MORT_OPEN,MORT_OTHER,0)</f>
        <v/>
      </c>
      <c r="BJ31" s="24">
        <f>IF(BJ$4&gt;=MORT_OPEN,MORT_OTHER,0)</f>
        <v/>
      </c>
      <c r="BK31" s="24">
        <f>IF(BK$4&gt;=MORT_OPEN,MORT_OTHER,0)</f>
        <v/>
      </c>
    </row>
    <row r="32">
      <c r="A32" s="30" t="inlineStr">
        <is>
          <t>Site operating costs</t>
        </is>
      </c>
      <c r="B32" s="3" t="inlineStr"/>
      <c r="C32" s="2" t="n"/>
      <c r="D32" s="33">
        <f>SUM(D21:D31)</f>
        <v/>
      </c>
      <c r="E32" s="33">
        <f>SUM(E21:E31)</f>
        <v/>
      </c>
      <c r="F32" s="33">
        <f>SUM(F21:F31)</f>
        <v/>
      </c>
      <c r="G32" s="33">
        <f>SUM(G21:G31)</f>
        <v/>
      </c>
      <c r="H32" s="33">
        <f>SUM(H21:H31)</f>
        <v/>
      </c>
      <c r="I32" s="33">
        <f>SUM(I21:I31)</f>
        <v/>
      </c>
      <c r="J32" s="33">
        <f>SUM(J21:J31)</f>
        <v/>
      </c>
      <c r="K32" s="33">
        <f>SUM(K21:K31)</f>
        <v/>
      </c>
      <c r="L32" s="33">
        <f>SUM(L21:L31)</f>
        <v/>
      </c>
      <c r="M32" s="33">
        <f>SUM(M21:M31)</f>
        <v/>
      </c>
      <c r="N32" s="33">
        <f>SUM(N21:N31)</f>
        <v/>
      </c>
      <c r="O32" s="33">
        <f>SUM(O21:O31)</f>
        <v/>
      </c>
      <c r="P32" s="33">
        <f>SUM(P21:P31)</f>
        <v/>
      </c>
      <c r="Q32" s="33">
        <f>SUM(Q21:Q31)</f>
        <v/>
      </c>
      <c r="R32" s="33">
        <f>SUM(R21:R31)</f>
        <v/>
      </c>
      <c r="S32" s="33">
        <f>SUM(S21:S31)</f>
        <v/>
      </c>
      <c r="T32" s="33">
        <f>SUM(T21:T31)</f>
        <v/>
      </c>
      <c r="U32" s="33">
        <f>SUM(U21:U31)</f>
        <v/>
      </c>
      <c r="V32" s="33">
        <f>SUM(V21:V31)</f>
        <v/>
      </c>
      <c r="W32" s="33">
        <f>SUM(W21:W31)</f>
        <v/>
      </c>
      <c r="X32" s="33">
        <f>SUM(X21:X31)</f>
        <v/>
      </c>
      <c r="Y32" s="33">
        <f>SUM(Y21:Y31)</f>
        <v/>
      </c>
      <c r="Z32" s="33">
        <f>SUM(Z21:Z31)</f>
        <v/>
      </c>
      <c r="AA32" s="33">
        <f>SUM(AA21:AA31)</f>
        <v/>
      </c>
      <c r="AB32" s="33">
        <f>SUM(AB21:AB31)</f>
        <v/>
      </c>
      <c r="AC32" s="33">
        <f>SUM(AC21:AC31)</f>
        <v/>
      </c>
      <c r="AD32" s="33">
        <f>SUM(AD21:AD31)</f>
        <v/>
      </c>
      <c r="AE32" s="33">
        <f>SUM(AE21:AE31)</f>
        <v/>
      </c>
      <c r="AF32" s="33">
        <f>SUM(AF21:AF31)</f>
        <v/>
      </c>
      <c r="AG32" s="33">
        <f>SUM(AG21:AG31)</f>
        <v/>
      </c>
      <c r="AH32" s="33">
        <f>SUM(AH21:AH31)</f>
        <v/>
      </c>
      <c r="AI32" s="33">
        <f>SUM(AI21:AI31)</f>
        <v/>
      </c>
      <c r="AJ32" s="33">
        <f>SUM(AJ21:AJ31)</f>
        <v/>
      </c>
      <c r="AK32" s="33">
        <f>SUM(AK21:AK31)</f>
        <v/>
      </c>
      <c r="AL32" s="33">
        <f>SUM(AL21:AL31)</f>
        <v/>
      </c>
      <c r="AM32" s="33">
        <f>SUM(AM21:AM31)</f>
        <v/>
      </c>
      <c r="AN32" s="33">
        <f>SUM(AN21:AN31)</f>
        <v/>
      </c>
      <c r="AO32" s="33">
        <f>SUM(AO21:AO31)</f>
        <v/>
      </c>
      <c r="AP32" s="33">
        <f>SUM(AP21:AP31)</f>
        <v/>
      </c>
      <c r="AQ32" s="33">
        <f>SUM(AQ21:AQ31)</f>
        <v/>
      </c>
      <c r="AR32" s="33">
        <f>SUM(AR21:AR31)</f>
        <v/>
      </c>
      <c r="AS32" s="33">
        <f>SUM(AS21:AS31)</f>
        <v/>
      </c>
      <c r="AT32" s="33">
        <f>SUM(AT21:AT31)</f>
        <v/>
      </c>
      <c r="AU32" s="33">
        <f>SUM(AU21:AU31)</f>
        <v/>
      </c>
      <c r="AV32" s="33">
        <f>SUM(AV21:AV31)</f>
        <v/>
      </c>
      <c r="AW32" s="33">
        <f>SUM(AW21:AW31)</f>
        <v/>
      </c>
      <c r="AX32" s="33">
        <f>SUM(AX21:AX31)</f>
        <v/>
      </c>
      <c r="AY32" s="33">
        <f>SUM(AY21:AY31)</f>
        <v/>
      </c>
      <c r="AZ32" s="33">
        <f>SUM(AZ21:AZ31)</f>
        <v/>
      </c>
      <c r="BA32" s="33">
        <f>SUM(BA21:BA31)</f>
        <v/>
      </c>
      <c r="BB32" s="33">
        <f>SUM(BB21:BB31)</f>
        <v/>
      </c>
      <c r="BC32" s="33">
        <f>SUM(BC21:BC31)</f>
        <v/>
      </c>
      <c r="BD32" s="33">
        <f>SUM(BD21:BD31)</f>
        <v/>
      </c>
      <c r="BE32" s="33">
        <f>SUM(BE21:BE31)</f>
        <v/>
      </c>
      <c r="BF32" s="33">
        <f>SUM(BF21:BF31)</f>
        <v/>
      </c>
      <c r="BG32" s="33">
        <f>SUM(BG21:BG31)</f>
        <v/>
      </c>
      <c r="BH32" s="33">
        <f>SUM(BH21:BH31)</f>
        <v/>
      </c>
      <c r="BI32" s="33">
        <f>SUM(BI21:BI31)</f>
        <v/>
      </c>
      <c r="BJ32" s="33">
        <f>SUM(BJ21:BJ31)</f>
        <v/>
      </c>
      <c r="BK32" s="33">
        <f>SUM(BK21:BK31)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</row>
    <row r="34">
      <c r="A34" s="12" t="inlineStr">
        <is>
          <t>C. Leases, charged monthly</t>
        </is>
      </c>
      <c r="B34" s="13" t="n"/>
      <c r="C34" s="1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</row>
    <row r="35">
      <c r="A35" s="14" t="inlineStr">
        <is>
          <t>Residence one building</t>
        </is>
      </c>
      <c r="B35" s="3" t="inlineStr"/>
      <c r="C35" s="2" t="n"/>
      <c r="D35" s="24">
        <f>IF(D$4&gt;=RES1_EFF-LEASE_LEAD,RES_LEASE_YR/12,0)</f>
        <v/>
      </c>
      <c r="E35" s="24">
        <f>IF(E$4&gt;=RES1_EFF-LEASE_LEAD,RES_LEASE_YR/12,0)</f>
        <v/>
      </c>
      <c r="F35" s="24">
        <f>IF(F$4&gt;=RES1_EFF-LEASE_LEAD,RES_LEASE_YR/12,0)</f>
        <v/>
      </c>
      <c r="G35" s="24">
        <f>IF(G$4&gt;=RES1_EFF-LEASE_LEAD,RES_LEASE_YR/12,0)</f>
        <v/>
      </c>
      <c r="H35" s="24">
        <f>IF(H$4&gt;=RES1_EFF-LEASE_LEAD,RES_LEASE_YR/12,0)</f>
        <v/>
      </c>
      <c r="I35" s="24">
        <f>IF(I$4&gt;=RES1_EFF-LEASE_LEAD,RES_LEASE_YR/12,0)</f>
        <v/>
      </c>
      <c r="J35" s="24">
        <f>IF(J$4&gt;=RES1_EFF-LEASE_LEAD,RES_LEASE_YR/12,0)</f>
        <v/>
      </c>
      <c r="K35" s="24">
        <f>IF(K$4&gt;=RES1_EFF-LEASE_LEAD,RES_LEASE_YR/12,0)</f>
        <v/>
      </c>
      <c r="L35" s="24">
        <f>IF(L$4&gt;=RES1_EFF-LEASE_LEAD,RES_LEASE_YR/12,0)</f>
        <v/>
      </c>
      <c r="M35" s="24">
        <f>IF(M$4&gt;=RES1_EFF-LEASE_LEAD,RES_LEASE_YR/12,0)</f>
        <v/>
      </c>
      <c r="N35" s="24">
        <f>IF(N$4&gt;=RES1_EFF-LEASE_LEAD,RES_LEASE_YR/12,0)</f>
        <v/>
      </c>
      <c r="O35" s="24">
        <f>IF(O$4&gt;=RES1_EFF-LEASE_LEAD,RES_LEASE_YR/12,0)</f>
        <v/>
      </c>
      <c r="P35" s="24">
        <f>IF(P$4&gt;=RES1_EFF-LEASE_LEAD,RES_LEASE_YR/12,0)</f>
        <v/>
      </c>
      <c r="Q35" s="24">
        <f>IF(Q$4&gt;=RES1_EFF-LEASE_LEAD,RES_LEASE_YR/12,0)</f>
        <v/>
      </c>
      <c r="R35" s="24">
        <f>IF(R$4&gt;=RES1_EFF-LEASE_LEAD,RES_LEASE_YR/12,0)</f>
        <v/>
      </c>
      <c r="S35" s="24">
        <f>IF(S$4&gt;=RES1_EFF-LEASE_LEAD,RES_LEASE_YR/12,0)</f>
        <v/>
      </c>
      <c r="T35" s="24">
        <f>IF(T$4&gt;=RES1_EFF-LEASE_LEAD,RES_LEASE_YR/12,0)</f>
        <v/>
      </c>
      <c r="U35" s="24">
        <f>IF(U$4&gt;=RES1_EFF-LEASE_LEAD,RES_LEASE_YR/12,0)</f>
        <v/>
      </c>
      <c r="V35" s="24">
        <f>IF(V$4&gt;=RES1_EFF-LEASE_LEAD,RES_LEASE_YR/12,0)</f>
        <v/>
      </c>
      <c r="W35" s="24">
        <f>IF(W$4&gt;=RES1_EFF-LEASE_LEAD,RES_LEASE_YR/12,0)</f>
        <v/>
      </c>
      <c r="X35" s="24">
        <f>IF(X$4&gt;=RES1_EFF-LEASE_LEAD,RES_LEASE_YR/12,0)</f>
        <v/>
      </c>
      <c r="Y35" s="24">
        <f>IF(Y$4&gt;=RES1_EFF-LEASE_LEAD,RES_LEASE_YR/12,0)</f>
        <v/>
      </c>
      <c r="Z35" s="24">
        <f>IF(Z$4&gt;=RES1_EFF-LEASE_LEAD,RES_LEASE_YR/12,0)</f>
        <v/>
      </c>
      <c r="AA35" s="24">
        <f>IF(AA$4&gt;=RES1_EFF-LEASE_LEAD,RES_LEASE_YR/12,0)</f>
        <v/>
      </c>
      <c r="AB35" s="24">
        <f>IF(AB$4&gt;=RES1_EFF-LEASE_LEAD,RES_LEASE_YR/12,0)</f>
        <v/>
      </c>
      <c r="AC35" s="24">
        <f>IF(AC$4&gt;=RES1_EFF-LEASE_LEAD,RES_LEASE_YR/12,0)</f>
        <v/>
      </c>
      <c r="AD35" s="24">
        <f>IF(AD$4&gt;=RES1_EFF-LEASE_LEAD,RES_LEASE_YR/12,0)</f>
        <v/>
      </c>
      <c r="AE35" s="24">
        <f>IF(AE$4&gt;=RES1_EFF-LEASE_LEAD,RES_LEASE_YR/12,0)</f>
        <v/>
      </c>
      <c r="AF35" s="24">
        <f>IF(AF$4&gt;=RES1_EFF-LEASE_LEAD,RES_LEASE_YR/12,0)</f>
        <v/>
      </c>
      <c r="AG35" s="24">
        <f>IF(AG$4&gt;=RES1_EFF-LEASE_LEAD,RES_LEASE_YR/12,0)</f>
        <v/>
      </c>
      <c r="AH35" s="24">
        <f>IF(AH$4&gt;=RES1_EFF-LEASE_LEAD,RES_LEASE_YR/12,0)</f>
        <v/>
      </c>
      <c r="AI35" s="24">
        <f>IF(AI$4&gt;=RES1_EFF-LEASE_LEAD,RES_LEASE_YR/12,0)</f>
        <v/>
      </c>
      <c r="AJ35" s="24">
        <f>IF(AJ$4&gt;=RES1_EFF-LEASE_LEAD,RES_LEASE_YR/12,0)</f>
        <v/>
      </c>
      <c r="AK35" s="24">
        <f>IF(AK$4&gt;=RES1_EFF-LEASE_LEAD,RES_LEASE_YR/12,0)</f>
        <v/>
      </c>
      <c r="AL35" s="24">
        <f>IF(AL$4&gt;=RES1_EFF-LEASE_LEAD,RES_LEASE_YR/12,0)</f>
        <v/>
      </c>
      <c r="AM35" s="24">
        <f>IF(AM$4&gt;=RES1_EFF-LEASE_LEAD,RES_LEASE_YR/12,0)</f>
        <v/>
      </c>
      <c r="AN35" s="24">
        <f>IF(AN$4&gt;=RES1_EFF-LEASE_LEAD,RES_LEASE_YR/12,0)</f>
        <v/>
      </c>
      <c r="AO35" s="24">
        <f>IF(AO$4&gt;=RES1_EFF-LEASE_LEAD,RES_LEASE_YR/12,0)</f>
        <v/>
      </c>
      <c r="AP35" s="24">
        <f>IF(AP$4&gt;=RES1_EFF-LEASE_LEAD,RES_LEASE_YR/12,0)</f>
        <v/>
      </c>
      <c r="AQ35" s="24">
        <f>IF(AQ$4&gt;=RES1_EFF-LEASE_LEAD,RES_LEASE_YR/12,0)</f>
        <v/>
      </c>
      <c r="AR35" s="24">
        <f>IF(AR$4&gt;=RES1_EFF-LEASE_LEAD,RES_LEASE_YR/12,0)</f>
        <v/>
      </c>
      <c r="AS35" s="24">
        <f>IF(AS$4&gt;=RES1_EFF-LEASE_LEAD,RES_LEASE_YR/12,0)</f>
        <v/>
      </c>
      <c r="AT35" s="24">
        <f>IF(AT$4&gt;=RES1_EFF-LEASE_LEAD,RES_LEASE_YR/12,0)</f>
        <v/>
      </c>
      <c r="AU35" s="24">
        <f>IF(AU$4&gt;=RES1_EFF-LEASE_LEAD,RES_LEASE_YR/12,0)</f>
        <v/>
      </c>
      <c r="AV35" s="24">
        <f>IF(AV$4&gt;=RES1_EFF-LEASE_LEAD,RES_LEASE_YR/12,0)</f>
        <v/>
      </c>
      <c r="AW35" s="24">
        <f>IF(AW$4&gt;=RES1_EFF-LEASE_LEAD,RES_LEASE_YR/12,0)</f>
        <v/>
      </c>
      <c r="AX35" s="24">
        <f>IF(AX$4&gt;=RES1_EFF-LEASE_LEAD,RES_LEASE_YR/12,0)</f>
        <v/>
      </c>
      <c r="AY35" s="24">
        <f>IF(AY$4&gt;=RES1_EFF-LEASE_LEAD,RES_LEASE_YR/12,0)</f>
        <v/>
      </c>
      <c r="AZ35" s="24">
        <f>IF(AZ$4&gt;=RES1_EFF-LEASE_LEAD,RES_LEASE_YR/12,0)</f>
        <v/>
      </c>
      <c r="BA35" s="24">
        <f>IF(BA$4&gt;=RES1_EFF-LEASE_LEAD,RES_LEASE_YR/12,0)</f>
        <v/>
      </c>
      <c r="BB35" s="24">
        <f>IF(BB$4&gt;=RES1_EFF-LEASE_LEAD,RES_LEASE_YR/12,0)</f>
        <v/>
      </c>
      <c r="BC35" s="24">
        <f>IF(BC$4&gt;=RES1_EFF-LEASE_LEAD,RES_LEASE_YR/12,0)</f>
        <v/>
      </c>
      <c r="BD35" s="24">
        <f>IF(BD$4&gt;=RES1_EFF-LEASE_LEAD,RES_LEASE_YR/12,0)</f>
        <v/>
      </c>
      <c r="BE35" s="24">
        <f>IF(BE$4&gt;=RES1_EFF-LEASE_LEAD,RES_LEASE_YR/12,0)</f>
        <v/>
      </c>
      <c r="BF35" s="24">
        <f>IF(BF$4&gt;=RES1_EFF-LEASE_LEAD,RES_LEASE_YR/12,0)</f>
        <v/>
      </c>
      <c r="BG35" s="24">
        <f>IF(BG$4&gt;=RES1_EFF-LEASE_LEAD,RES_LEASE_YR/12,0)</f>
        <v/>
      </c>
      <c r="BH35" s="24">
        <f>IF(BH$4&gt;=RES1_EFF-LEASE_LEAD,RES_LEASE_YR/12,0)</f>
        <v/>
      </c>
      <c r="BI35" s="24">
        <f>IF(BI$4&gt;=RES1_EFF-LEASE_LEAD,RES_LEASE_YR/12,0)</f>
        <v/>
      </c>
      <c r="BJ35" s="24">
        <f>IF(BJ$4&gt;=RES1_EFF-LEASE_LEAD,RES_LEASE_YR/12,0)</f>
        <v/>
      </c>
      <c r="BK35" s="24">
        <f>IF(BK$4&gt;=RES1_EFF-LEASE_LEAD,RES_LEASE_YR/12,0)</f>
        <v/>
      </c>
    </row>
    <row r="36">
      <c r="A36" s="14" t="inlineStr">
        <is>
          <t>Residence two building</t>
        </is>
      </c>
      <c r="B36" s="3" t="inlineStr"/>
      <c r="C36" s="2" t="n"/>
      <c r="D36" s="24">
        <f>IF(D$4&gt;=RES2_EFF-LEASE_LEAD,RES_LEASE_YR/12,0)</f>
        <v/>
      </c>
      <c r="E36" s="24">
        <f>IF(E$4&gt;=RES2_EFF-LEASE_LEAD,RES_LEASE_YR/12,0)</f>
        <v/>
      </c>
      <c r="F36" s="24">
        <f>IF(F$4&gt;=RES2_EFF-LEASE_LEAD,RES_LEASE_YR/12,0)</f>
        <v/>
      </c>
      <c r="G36" s="24">
        <f>IF(G$4&gt;=RES2_EFF-LEASE_LEAD,RES_LEASE_YR/12,0)</f>
        <v/>
      </c>
      <c r="H36" s="24">
        <f>IF(H$4&gt;=RES2_EFF-LEASE_LEAD,RES_LEASE_YR/12,0)</f>
        <v/>
      </c>
      <c r="I36" s="24">
        <f>IF(I$4&gt;=RES2_EFF-LEASE_LEAD,RES_LEASE_YR/12,0)</f>
        <v/>
      </c>
      <c r="J36" s="24">
        <f>IF(J$4&gt;=RES2_EFF-LEASE_LEAD,RES_LEASE_YR/12,0)</f>
        <v/>
      </c>
      <c r="K36" s="24">
        <f>IF(K$4&gt;=RES2_EFF-LEASE_LEAD,RES_LEASE_YR/12,0)</f>
        <v/>
      </c>
      <c r="L36" s="24">
        <f>IF(L$4&gt;=RES2_EFF-LEASE_LEAD,RES_LEASE_YR/12,0)</f>
        <v/>
      </c>
      <c r="M36" s="24">
        <f>IF(M$4&gt;=RES2_EFF-LEASE_LEAD,RES_LEASE_YR/12,0)</f>
        <v/>
      </c>
      <c r="N36" s="24">
        <f>IF(N$4&gt;=RES2_EFF-LEASE_LEAD,RES_LEASE_YR/12,0)</f>
        <v/>
      </c>
      <c r="O36" s="24">
        <f>IF(O$4&gt;=RES2_EFF-LEASE_LEAD,RES_LEASE_YR/12,0)</f>
        <v/>
      </c>
      <c r="P36" s="24">
        <f>IF(P$4&gt;=RES2_EFF-LEASE_LEAD,RES_LEASE_YR/12,0)</f>
        <v/>
      </c>
      <c r="Q36" s="24">
        <f>IF(Q$4&gt;=RES2_EFF-LEASE_LEAD,RES_LEASE_YR/12,0)</f>
        <v/>
      </c>
      <c r="R36" s="24">
        <f>IF(R$4&gt;=RES2_EFF-LEASE_LEAD,RES_LEASE_YR/12,0)</f>
        <v/>
      </c>
      <c r="S36" s="24">
        <f>IF(S$4&gt;=RES2_EFF-LEASE_LEAD,RES_LEASE_YR/12,0)</f>
        <v/>
      </c>
      <c r="T36" s="24">
        <f>IF(T$4&gt;=RES2_EFF-LEASE_LEAD,RES_LEASE_YR/12,0)</f>
        <v/>
      </c>
      <c r="U36" s="24">
        <f>IF(U$4&gt;=RES2_EFF-LEASE_LEAD,RES_LEASE_YR/12,0)</f>
        <v/>
      </c>
      <c r="V36" s="24">
        <f>IF(V$4&gt;=RES2_EFF-LEASE_LEAD,RES_LEASE_YR/12,0)</f>
        <v/>
      </c>
      <c r="W36" s="24">
        <f>IF(W$4&gt;=RES2_EFF-LEASE_LEAD,RES_LEASE_YR/12,0)</f>
        <v/>
      </c>
      <c r="X36" s="24">
        <f>IF(X$4&gt;=RES2_EFF-LEASE_LEAD,RES_LEASE_YR/12,0)</f>
        <v/>
      </c>
      <c r="Y36" s="24">
        <f>IF(Y$4&gt;=RES2_EFF-LEASE_LEAD,RES_LEASE_YR/12,0)</f>
        <v/>
      </c>
      <c r="Z36" s="24">
        <f>IF(Z$4&gt;=RES2_EFF-LEASE_LEAD,RES_LEASE_YR/12,0)</f>
        <v/>
      </c>
      <c r="AA36" s="24">
        <f>IF(AA$4&gt;=RES2_EFF-LEASE_LEAD,RES_LEASE_YR/12,0)</f>
        <v/>
      </c>
      <c r="AB36" s="24">
        <f>IF(AB$4&gt;=RES2_EFF-LEASE_LEAD,RES_LEASE_YR/12,0)</f>
        <v/>
      </c>
      <c r="AC36" s="24">
        <f>IF(AC$4&gt;=RES2_EFF-LEASE_LEAD,RES_LEASE_YR/12,0)</f>
        <v/>
      </c>
      <c r="AD36" s="24">
        <f>IF(AD$4&gt;=RES2_EFF-LEASE_LEAD,RES_LEASE_YR/12,0)</f>
        <v/>
      </c>
      <c r="AE36" s="24">
        <f>IF(AE$4&gt;=RES2_EFF-LEASE_LEAD,RES_LEASE_YR/12,0)</f>
        <v/>
      </c>
      <c r="AF36" s="24">
        <f>IF(AF$4&gt;=RES2_EFF-LEASE_LEAD,RES_LEASE_YR/12,0)</f>
        <v/>
      </c>
      <c r="AG36" s="24">
        <f>IF(AG$4&gt;=RES2_EFF-LEASE_LEAD,RES_LEASE_YR/12,0)</f>
        <v/>
      </c>
      <c r="AH36" s="24">
        <f>IF(AH$4&gt;=RES2_EFF-LEASE_LEAD,RES_LEASE_YR/12,0)</f>
        <v/>
      </c>
      <c r="AI36" s="24">
        <f>IF(AI$4&gt;=RES2_EFF-LEASE_LEAD,RES_LEASE_YR/12,0)</f>
        <v/>
      </c>
      <c r="AJ36" s="24">
        <f>IF(AJ$4&gt;=RES2_EFF-LEASE_LEAD,RES_LEASE_YR/12,0)</f>
        <v/>
      </c>
      <c r="AK36" s="24">
        <f>IF(AK$4&gt;=RES2_EFF-LEASE_LEAD,RES_LEASE_YR/12,0)</f>
        <v/>
      </c>
      <c r="AL36" s="24">
        <f>IF(AL$4&gt;=RES2_EFF-LEASE_LEAD,RES_LEASE_YR/12,0)</f>
        <v/>
      </c>
      <c r="AM36" s="24">
        <f>IF(AM$4&gt;=RES2_EFF-LEASE_LEAD,RES_LEASE_YR/12,0)</f>
        <v/>
      </c>
      <c r="AN36" s="24">
        <f>IF(AN$4&gt;=RES2_EFF-LEASE_LEAD,RES_LEASE_YR/12,0)</f>
        <v/>
      </c>
      <c r="AO36" s="24">
        <f>IF(AO$4&gt;=RES2_EFF-LEASE_LEAD,RES_LEASE_YR/12,0)</f>
        <v/>
      </c>
      <c r="AP36" s="24">
        <f>IF(AP$4&gt;=RES2_EFF-LEASE_LEAD,RES_LEASE_YR/12,0)</f>
        <v/>
      </c>
      <c r="AQ36" s="24">
        <f>IF(AQ$4&gt;=RES2_EFF-LEASE_LEAD,RES_LEASE_YR/12,0)</f>
        <v/>
      </c>
      <c r="AR36" s="24">
        <f>IF(AR$4&gt;=RES2_EFF-LEASE_LEAD,RES_LEASE_YR/12,0)</f>
        <v/>
      </c>
      <c r="AS36" s="24">
        <f>IF(AS$4&gt;=RES2_EFF-LEASE_LEAD,RES_LEASE_YR/12,0)</f>
        <v/>
      </c>
      <c r="AT36" s="24">
        <f>IF(AT$4&gt;=RES2_EFF-LEASE_LEAD,RES_LEASE_YR/12,0)</f>
        <v/>
      </c>
      <c r="AU36" s="24">
        <f>IF(AU$4&gt;=RES2_EFF-LEASE_LEAD,RES_LEASE_YR/12,0)</f>
        <v/>
      </c>
      <c r="AV36" s="24">
        <f>IF(AV$4&gt;=RES2_EFF-LEASE_LEAD,RES_LEASE_YR/12,0)</f>
        <v/>
      </c>
      <c r="AW36" s="24">
        <f>IF(AW$4&gt;=RES2_EFF-LEASE_LEAD,RES_LEASE_YR/12,0)</f>
        <v/>
      </c>
      <c r="AX36" s="24">
        <f>IF(AX$4&gt;=RES2_EFF-LEASE_LEAD,RES_LEASE_YR/12,0)</f>
        <v/>
      </c>
      <c r="AY36" s="24">
        <f>IF(AY$4&gt;=RES2_EFF-LEASE_LEAD,RES_LEASE_YR/12,0)</f>
        <v/>
      </c>
      <c r="AZ36" s="24">
        <f>IF(AZ$4&gt;=RES2_EFF-LEASE_LEAD,RES_LEASE_YR/12,0)</f>
        <v/>
      </c>
      <c r="BA36" s="24">
        <f>IF(BA$4&gt;=RES2_EFF-LEASE_LEAD,RES_LEASE_YR/12,0)</f>
        <v/>
      </c>
      <c r="BB36" s="24">
        <f>IF(BB$4&gt;=RES2_EFF-LEASE_LEAD,RES_LEASE_YR/12,0)</f>
        <v/>
      </c>
      <c r="BC36" s="24">
        <f>IF(BC$4&gt;=RES2_EFF-LEASE_LEAD,RES_LEASE_YR/12,0)</f>
        <v/>
      </c>
      <c r="BD36" s="24">
        <f>IF(BD$4&gt;=RES2_EFF-LEASE_LEAD,RES_LEASE_YR/12,0)</f>
        <v/>
      </c>
      <c r="BE36" s="24">
        <f>IF(BE$4&gt;=RES2_EFF-LEASE_LEAD,RES_LEASE_YR/12,0)</f>
        <v/>
      </c>
      <c r="BF36" s="24">
        <f>IF(BF$4&gt;=RES2_EFF-LEASE_LEAD,RES_LEASE_YR/12,0)</f>
        <v/>
      </c>
      <c r="BG36" s="24">
        <f>IF(BG$4&gt;=RES2_EFF-LEASE_LEAD,RES_LEASE_YR/12,0)</f>
        <v/>
      </c>
      <c r="BH36" s="24">
        <f>IF(BH$4&gt;=RES2_EFF-LEASE_LEAD,RES_LEASE_YR/12,0)</f>
        <v/>
      </c>
      <c r="BI36" s="24">
        <f>IF(BI$4&gt;=RES2_EFF-LEASE_LEAD,RES_LEASE_YR/12,0)</f>
        <v/>
      </c>
      <c r="BJ36" s="24">
        <f>IF(BJ$4&gt;=RES2_EFF-LEASE_LEAD,RES_LEASE_YR/12,0)</f>
        <v/>
      </c>
      <c r="BK36" s="24">
        <f>IF(BK$4&gt;=RES2_EFF-LEASE_LEAD,RES_LEASE_YR/12,0)</f>
        <v/>
      </c>
    </row>
    <row r="37">
      <c r="A37" s="14" t="inlineStr">
        <is>
          <t>Mortuary site</t>
        </is>
      </c>
      <c r="B37" s="3" t="inlineStr"/>
      <c r="C37" s="2" t="n"/>
      <c r="D37" s="24">
        <f>IF(D$4&gt;=MORT_LEASE_FROM,MORT_LEASE_YR/12,0)</f>
        <v/>
      </c>
      <c r="E37" s="24">
        <f>IF(E$4&gt;=MORT_LEASE_FROM,MORT_LEASE_YR/12,0)</f>
        <v/>
      </c>
      <c r="F37" s="24">
        <f>IF(F$4&gt;=MORT_LEASE_FROM,MORT_LEASE_YR/12,0)</f>
        <v/>
      </c>
      <c r="G37" s="24">
        <f>IF(G$4&gt;=MORT_LEASE_FROM,MORT_LEASE_YR/12,0)</f>
        <v/>
      </c>
      <c r="H37" s="24">
        <f>IF(H$4&gt;=MORT_LEASE_FROM,MORT_LEASE_YR/12,0)</f>
        <v/>
      </c>
      <c r="I37" s="24">
        <f>IF(I$4&gt;=MORT_LEASE_FROM,MORT_LEASE_YR/12,0)</f>
        <v/>
      </c>
      <c r="J37" s="24">
        <f>IF(J$4&gt;=MORT_LEASE_FROM,MORT_LEASE_YR/12,0)</f>
        <v/>
      </c>
      <c r="K37" s="24">
        <f>IF(K$4&gt;=MORT_LEASE_FROM,MORT_LEASE_YR/12,0)</f>
        <v/>
      </c>
      <c r="L37" s="24">
        <f>IF(L$4&gt;=MORT_LEASE_FROM,MORT_LEASE_YR/12,0)</f>
        <v/>
      </c>
      <c r="M37" s="24">
        <f>IF(M$4&gt;=MORT_LEASE_FROM,MORT_LEASE_YR/12,0)</f>
        <v/>
      </c>
      <c r="N37" s="24">
        <f>IF(N$4&gt;=MORT_LEASE_FROM,MORT_LEASE_YR/12,0)</f>
        <v/>
      </c>
      <c r="O37" s="24">
        <f>IF(O$4&gt;=MORT_LEASE_FROM,MORT_LEASE_YR/12,0)</f>
        <v/>
      </c>
      <c r="P37" s="24">
        <f>IF(P$4&gt;=MORT_LEASE_FROM,MORT_LEASE_YR/12,0)</f>
        <v/>
      </c>
      <c r="Q37" s="24">
        <f>IF(Q$4&gt;=MORT_LEASE_FROM,MORT_LEASE_YR/12,0)</f>
        <v/>
      </c>
      <c r="R37" s="24">
        <f>IF(R$4&gt;=MORT_LEASE_FROM,MORT_LEASE_YR/12,0)</f>
        <v/>
      </c>
      <c r="S37" s="24">
        <f>IF(S$4&gt;=MORT_LEASE_FROM,MORT_LEASE_YR/12,0)</f>
        <v/>
      </c>
      <c r="T37" s="24">
        <f>IF(T$4&gt;=MORT_LEASE_FROM,MORT_LEASE_YR/12,0)</f>
        <v/>
      </c>
      <c r="U37" s="24">
        <f>IF(U$4&gt;=MORT_LEASE_FROM,MORT_LEASE_YR/12,0)</f>
        <v/>
      </c>
      <c r="V37" s="24">
        <f>IF(V$4&gt;=MORT_LEASE_FROM,MORT_LEASE_YR/12,0)</f>
        <v/>
      </c>
      <c r="W37" s="24">
        <f>IF(W$4&gt;=MORT_LEASE_FROM,MORT_LEASE_YR/12,0)</f>
        <v/>
      </c>
      <c r="X37" s="24">
        <f>IF(X$4&gt;=MORT_LEASE_FROM,MORT_LEASE_YR/12,0)</f>
        <v/>
      </c>
      <c r="Y37" s="24">
        <f>IF(Y$4&gt;=MORT_LEASE_FROM,MORT_LEASE_YR/12,0)</f>
        <v/>
      </c>
      <c r="Z37" s="24">
        <f>IF(Z$4&gt;=MORT_LEASE_FROM,MORT_LEASE_YR/12,0)</f>
        <v/>
      </c>
      <c r="AA37" s="24">
        <f>IF(AA$4&gt;=MORT_LEASE_FROM,MORT_LEASE_YR/12,0)</f>
        <v/>
      </c>
      <c r="AB37" s="24">
        <f>IF(AB$4&gt;=MORT_LEASE_FROM,MORT_LEASE_YR/12,0)</f>
        <v/>
      </c>
      <c r="AC37" s="24">
        <f>IF(AC$4&gt;=MORT_LEASE_FROM,MORT_LEASE_YR/12,0)</f>
        <v/>
      </c>
      <c r="AD37" s="24">
        <f>IF(AD$4&gt;=MORT_LEASE_FROM,MORT_LEASE_YR/12,0)</f>
        <v/>
      </c>
      <c r="AE37" s="24">
        <f>IF(AE$4&gt;=MORT_LEASE_FROM,MORT_LEASE_YR/12,0)</f>
        <v/>
      </c>
      <c r="AF37" s="24">
        <f>IF(AF$4&gt;=MORT_LEASE_FROM,MORT_LEASE_YR/12,0)</f>
        <v/>
      </c>
      <c r="AG37" s="24">
        <f>IF(AG$4&gt;=MORT_LEASE_FROM,MORT_LEASE_YR/12,0)</f>
        <v/>
      </c>
      <c r="AH37" s="24">
        <f>IF(AH$4&gt;=MORT_LEASE_FROM,MORT_LEASE_YR/12,0)</f>
        <v/>
      </c>
      <c r="AI37" s="24">
        <f>IF(AI$4&gt;=MORT_LEASE_FROM,MORT_LEASE_YR/12,0)</f>
        <v/>
      </c>
      <c r="AJ37" s="24">
        <f>IF(AJ$4&gt;=MORT_LEASE_FROM,MORT_LEASE_YR/12,0)</f>
        <v/>
      </c>
      <c r="AK37" s="24">
        <f>IF(AK$4&gt;=MORT_LEASE_FROM,MORT_LEASE_YR/12,0)</f>
        <v/>
      </c>
      <c r="AL37" s="24">
        <f>IF(AL$4&gt;=MORT_LEASE_FROM,MORT_LEASE_YR/12,0)</f>
        <v/>
      </c>
      <c r="AM37" s="24">
        <f>IF(AM$4&gt;=MORT_LEASE_FROM,MORT_LEASE_YR/12,0)</f>
        <v/>
      </c>
      <c r="AN37" s="24">
        <f>IF(AN$4&gt;=MORT_LEASE_FROM,MORT_LEASE_YR/12,0)</f>
        <v/>
      </c>
      <c r="AO37" s="24">
        <f>IF(AO$4&gt;=MORT_LEASE_FROM,MORT_LEASE_YR/12,0)</f>
        <v/>
      </c>
      <c r="AP37" s="24">
        <f>IF(AP$4&gt;=MORT_LEASE_FROM,MORT_LEASE_YR/12,0)</f>
        <v/>
      </c>
      <c r="AQ37" s="24">
        <f>IF(AQ$4&gt;=MORT_LEASE_FROM,MORT_LEASE_YR/12,0)</f>
        <v/>
      </c>
      <c r="AR37" s="24">
        <f>IF(AR$4&gt;=MORT_LEASE_FROM,MORT_LEASE_YR/12,0)</f>
        <v/>
      </c>
      <c r="AS37" s="24">
        <f>IF(AS$4&gt;=MORT_LEASE_FROM,MORT_LEASE_YR/12,0)</f>
        <v/>
      </c>
      <c r="AT37" s="24">
        <f>IF(AT$4&gt;=MORT_LEASE_FROM,MORT_LEASE_YR/12,0)</f>
        <v/>
      </c>
      <c r="AU37" s="24">
        <f>IF(AU$4&gt;=MORT_LEASE_FROM,MORT_LEASE_YR/12,0)</f>
        <v/>
      </c>
      <c r="AV37" s="24">
        <f>IF(AV$4&gt;=MORT_LEASE_FROM,MORT_LEASE_YR/12,0)</f>
        <v/>
      </c>
      <c r="AW37" s="24">
        <f>IF(AW$4&gt;=MORT_LEASE_FROM,MORT_LEASE_YR/12,0)</f>
        <v/>
      </c>
      <c r="AX37" s="24">
        <f>IF(AX$4&gt;=MORT_LEASE_FROM,MORT_LEASE_YR/12,0)</f>
        <v/>
      </c>
      <c r="AY37" s="24">
        <f>IF(AY$4&gt;=MORT_LEASE_FROM,MORT_LEASE_YR/12,0)</f>
        <v/>
      </c>
      <c r="AZ37" s="24">
        <f>IF(AZ$4&gt;=MORT_LEASE_FROM,MORT_LEASE_YR/12,0)</f>
        <v/>
      </c>
      <c r="BA37" s="24">
        <f>IF(BA$4&gt;=MORT_LEASE_FROM,MORT_LEASE_YR/12,0)</f>
        <v/>
      </c>
      <c r="BB37" s="24">
        <f>IF(BB$4&gt;=MORT_LEASE_FROM,MORT_LEASE_YR/12,0)</f>
        <v/>
      </c>
      <c r="BC37" s="24">
        <f>IF(BC$4&gt;=MORT_LEASE_FROM,MORT_LEASE_YR/12,0)</f>
        <v/>
      </c>
      <c r="BD37" s="24">
        <f>IF(BD$4&gt;=MORT_LEASE_FROM,MORT_LEASE_YR/12,0)</f>
        <v/>
      </c>
      <c r="BE37" s="24">
        <f>IF(BE$4&gt;=MORT_LEASE_FROM,MORT_LEASE_YR/12,0)</f>
        <v/>
      </c>
      <c r="BF37" s="24">
        <f>IF(BF$4&gt;=MORT_LEASE_FROM,MORT_LEASE_YR/12,0)</f>
        <v/>
      </c>
      <c r="BG37" s="24">
        <f>IF(BG$4&gt;=MORT_LEASE_FROM,MORT_LEASE_YR/12,0)</f>
        <v/>
      </c>
      <c r="BH37" s="24">
        <f>IF(BH$4&gt;=MORT_LEASE_FROM,MORT_LEASE_YR/12,0)</f>
        <v/>
      </c>
      <c r="BI37" s="24">
        <f>IF(BI$4&gt;=MORT_LEASE_FROM,MORT_LEASE_YR/12,0)</f>
        <v/>
      </c>
      <c r="BJ37" s="24">
        <f>IF(BJ$4&gt;=MORT_LEASE_FROM,MORT_LEASE_YR/12,0)</f>
        <v/>
      </c>
      <c r="BK37" s="24">
        <f>IF(BK$4&gt;=MORT_LEASE_FROM,MORT_LEASE_YR/12,0)</f>
        <v/>
      </c>
    </row>
    <row r="38">
      <c r="A38" s="30" t="inlineStr">
        <is>
          <t>Leases</t>
        </is>
      </c>
      <c r="B38" s="3" t="inlineStr"/>
      <c r="C38" s="2" t="n"/>
      <c r="D38" s="33">
        <f>SUM(D35:D37)</f>
        <v/>
      </c>
      <c r="E38" s="33">
        <f>SUM(E35:E37)</f>
        <v/>
      </c>
      <c r="F38" s="33">
        <f>SUM(F35:F37)</f>
        <v/>
      </c>
      <c r="G38" s="33">
        <f>SUM(G35:G37)</f>
        <v/>
      </c>
      <c r="H38" s="33">
        <f>SUM(H35:H37)</f>
        <v/>
      </c>
      <c r="I38" s="33">
        <f>SUM(I35:I37)</f>
        <v/>
      </c>
      <c r="J38" s="33">
        <f>SUM(J35:J37)</f>
        <v/>
      </c>
      <c r="K38" s="33">
        <f>SUM(K35:K37)</f>
        <v/>
      </c>
      <c r="L38" s="33">
        <f>SUM(L35:L37)</f>
        <v/>
      </c>
      <c r="M38" s="33">
        <f>SUM(M35:M37)</f>
        <v/>
      </c>
      <c r="N38" s="33">
        <f>SUM(N35:N37)</f>
        <v/>
      </c>
      <c r="O38" s="33">
        <f>SUM(O35:O37)</f>
        <v/>
      </c>
      <c r="P38" s="33">
        <f>SUM(P35:P37)</f>
        <v/>
      </c>
      <c r="Q38" s="33">
        <f>SUM(Q35:Q37)</f>
        <v/>
      </c>
      <c r="R38" s="33">
        <f>SUM(R35:R37)</f>
        <v/>
      </c>
      <c r="S38" s="33">
        <f>SUM(S35:S37)</f>
        <v/>
      </c>
      <c r="T38" s="33">
        <f>SUM(T35:T37)</f>
        <v/>
      </c>
      <c r="U38" s="33">
        <f>SUM(U35:U37)</f>
        <v/>
      </c>
      <c r="V38" s="33">
        <f>SUM(V35:V37)</f>
        <v/>
      </c>
      <c r="W38" s="33">
        <f>SUM(W35:W37)</f>
        <v/>
      </c>
      <c r="X38" s="33">
        <f>SUM(X35:X37)</f>
        <v/>
      </c>
      <c r="Y38" s="33">
        <f>SUM(Y35:Y37)</f>
        <v/>
      </c>
      <c r="Z38" s="33">
        <f>SUM(Z35:Z37)</f>
        <v/>
      </c>
      <c r="AA38" s="33">
        <f>SUM(AA35:AA37)</f>
        <v/>
      </c>
      <c r="AB38" s="33">
        <f>SUM(AB35:AB37)</f>
        <v/>
      </c>
      <c r="AC38" s="33">
        <f>SUM(AC35:AC37)</f>
        <v/>
      </c>
      <c r="AD38" s="33">
        <f>SUM(AD35:AD37)</f>
        <v/>
      </c>
      <c r="AE38" s="33">
        <f>SUM(AE35:AE37)</f>
        <v/>
      </c>
      <c r="AF38" s="33">
        <f>SUM(AF35:AF37)</f>
        <v/>
      </c>
      <c r="AG38" s="33">
        <f>SUM(AG35:AG37)</f>
        <v/>
      </c>
      <c r="AH38" s="33">
        <f>SUM(AH35:AH37)</f>
        <v/>
      </c>
      <c r="AI38" s="33">
        <f>SUM(AI35:AI37)</f>
        <v/>
      </c>
      <c r="AJ38" s="33">
        <f>SUM(AJ35:AJ37)</f>
        <v/>
      </c>
      <c r="AK38" s="33">
        <f>SUM(AK35:AK37)</f>
        <v/>
      </c>
      <c r="AL38" s="33">
        <f>SUM(AL35:AL37)</f>
        <v/>
      </c>
      <c r="AM38" s="33">
        <f>SUM(AM35:AM37)</f>
        <v/>
      </c>
      <c r="AN38" s="33">
        <f>SUM(AN35:AN37)</f>
        <v/>
      </c>
      <c r="AO38" s="33">
        <f>SUM(AO35:AO37)</f>
        <v/>
      </c>
      <c r="AP38" s="33">
        <f>SUM(AP35:AP37)</f>
        <v/>
      </c>
      <c r="AQ38" s="33">
        <f>SUM(AQ35:AQ37)</f>
        <v/>
      </c>
      <c r="AR38" s="33">
        <f>SUM(AR35:AR37)</f>
        <v/>
      </c>
      <c r="AS38" s="33">
        <f>SUM(AS35:AS37)</f>
        <v/>
      </c>
      <c r="AT38" s="33">
        <f>SUM(AT35:AT37)</f>
        <v/>
      </c>
      <c r="AU38" s="33">
        <f>SUM(AU35:AU37)</f>
        <v/>
      </c>
      <c r="AV38" s="33">
        <f>SUM(AV35:AV37)</f>
        <v/>
      </c>
      <c r="AW38" s="33">
        <f>SUM(AW35:AW37)</f>
        <v/>
      </c>
      <c r="AX38" s="33">
        <f>SUM(AX35:AX37)</f>
        <v/>
      </c>
      <c r="AY38" s="33">
        <f>SUM(AY35:AY37)</f>
        <v/>
      </c>
      <c r="AZ38" s="33">
        <f>SUM(AZ35:AZ37)</f>
        <v/>
      </c>
      <c r="BA38" s="33">
        <f>SUM(BA35:BA37)</f>
        <v/>
      </c>
      <c r="BB38" s="33">
        <f>SUM(BB35:BB37)</f>
        <v/>
      </c>
      <c r="BC38" s="33">
        <f>SUM(BC35:BC37)</f>
        <v/>
      </c>
      <c r="BD38" s="33">
        <f>SUM(BD35:BD37)</f>
        <v/>
      </c>
      <c r="BE38" s="33">
        <f>SUM(BE35:BE37)</f>
        <v/>
      </c>
      <c r="BF38" s="33">
        <f>SUM(BF35:BF37)</f>
        <v/>
      </c>
      <c r="BG38" s="33">
        <f>SUM(BG35:BG37)</f>
        <v/>
      </c>
      <c r="BH38" s="33">
        <f>SUM(BH35:BH37)</f>
        <v/>
      </c>
      <c r="BI38" s="33">
        <f>SUM(BI35:BI37)</f>
        <v/>
      </c>
      <c r="BJ38" s="33">
        <f>SUM(BJ35:BJ37)</f>
        <v/>
      </c>
      <c r="BK38" s="33">
        <f>SUM(BK35:BK37)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</row>
    <row r="40">
      <c r="A40" s="12" t="inlineStr">
        <is>
          <t>D. Central overhead</t>
        </is>
      </c>
      <c r="B40" s="13" t="n"/>
      <c r="C40" s="1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</row>
    <row r="41">
      <c r="A41" s="14" t="inlineStr">
        <is>
          <t>Central team</t>
        </is>
      </c>
      <c r="B41" s="3" t="inlineStr"/>
      <c r="C41" s="2" t="n"/>
      <c r="D41" s="24">
        <f>IF(D$4&gt;=CENT_M3,CENT_V3,IF(D$4&gt;=CENT_M2,CENT_V2,IF(D$4&gt;=CENT_M1,CENT_V1,0)))</f>
        <v/>
      </c>
      <c r="E41" s="24">
        <f>IF(E$4&gt;=CENT_M3,CENT_V3,IF(E$4&gt;=CENT_M2,CENT_V2,IF(E$4&gt;=CENT_M1,CENT_V1,0)))</f>
        <v/>
      </c>
      <c r="F41" s="24">
        <f>IF(F$4&gt;=CENT_M3,CENT_V3,IF(F$4&gt;=CENT_M2,CENT_V2,IF(F$4&gt;=CENT_M1,CENT_V1,0)))</f>
        <v/>
      </c>
      <c r="G41" s="24">
        <f>IF(G$4&gt;=CENT_M3,CENT_V3,IF(G$4&gt;=CENT_M2,CENT_V2,IF(G$4&gt;=CENT_M1,CENT_V1,0)))</f>
        <v/>
      </c>
      <c r="H41" s="24">
        <f>IF(H$4&gt;=CENT_M3,CENT_V3,IF(H$4&gt;=CENT_M2,CENT_V2,IF(H$4&gt;=CENT_M1,CENT_V1,0)))</f>
        <v/>
      </c>
      <c r="I41" s="24">
        <f>IF(I$4&gt;=CENT_M3,CENT_V3,IF(I$4&gt;=CENT_M2,CENT_V2,IF(I$4&gt;=CENT_M1,CENT_V1,0)))</f>
        <v/>
      </c>
      <c r="J41" s="24">
        <f>IF(J$4&gt;=CENT_M3,CENT_V3,IF(J$4&gt;=CENT_M2,CENT_V2,IF(J$4&gt;=CENT_M1,CENT_V1,0)))</f>
        <v/>
      </c>
      <c r="K41" s="24">
        <f>IF(K$4&gt;=CENT_M3,CENT_V3,IF(K$4&gt;=CENT_M2,CENT_V2,IF(K$4&gt;=CENT_M1,CENT_V1,0)))</f>
        <v/>
      </c>
      <c r="L41" s="24">
        <f>IF(L$4&gt;=CENT_M3,CENT_V3,IF(L$4&gt;=CENT_M2,CENT_V2,IF(L$4&gt;=CENT_M1,CENT_V1,0)))</f>
        <v/>
      </c>
      <c r="M41" s="24">
        <f>IF(M$4&gt;=CENT_M3,CENT_V3,IF(M$4&gt;=CENT_M2,CENT_V2,IF(M$4&gt;=CENT_M1,CENT_V1,0)))</f>
        <v/>
      </c>
      <c r="N41" s="24">
        <f>IF(N$4&gt;=CENT_M3,CENT_V3,IF(N$4&gt;=CENT_M2,CENT_V2,IF(N$4&gt;=CENT_M1,CENT_V1,0)))</f>
        <v/>
      </c>
      <c r="O41" s="24">
        <f>IF(O$4&gt;=CENT_M3,CENT_V3,IF(O$4&gt;=CENT_M2,CENT_V2,IF(O$4&gt;=CENT_M1,CENT_V1,0)))</f>
        <v/>
      </c>
      <c r="P41" s="24">
        <f>IF(P$4&gt;=CENT_M3,CENT_V3,IF(P$4&gt;=CENT_M2,CENT_V2,IF(P$4&gt;=CENT_M1,CENT_V1,0)))</f>
        <v/>
      </c>
      <c r="Q41" s="24">
        <f>IF(Q$4&gt;=CENT_M3,CENT_V3,IF(Q$4&gt;=CENT_M2,CENT_V2,IF(Q$4&gt;=CENT_M1,CENT_V1,0)))</f>
        <v/>
      </c>
      <c r="R41" s="24">
        <f>IF(R$4&gt;=CENT_M3,CENT_V3,IF(R$4&gt;=CENT_M2,CENT_V2,IF(R$4&gt;=CENT_M1,CENT_V1,0)))</f>
        <v/>
      </c>
      <c r="S41" s="24">
        <f>IF(S$4&gt;=CENT_M3,CENT_V3,IF(S$4&gt;=CENT_M2,CENT_V2,IF(S$4&gt;=CENT_M1,CENT_V1,0)))</f>
        <v/>
      </c>
      <c r="T41" s="24">
        <f>IF(T$4&gt;=CENT_M3,CENT_V3,IF(T$4&gt;=CENT_M2,CENT_V2,IF(T$4&gt;=CENT_M1,CENT_V1,0)))</f>
        <v/>
      </c>
      <c r="U41" s="24">
        <f>IF(U$4&gt;=CENT_M3,CENT_V3,IF(U$4&gt;=CENT_M2,CENT_V2,IF(U$4&gt;=CENT_M1,CENT_V1,0)))</f>
        <v/>
      </c>
      <c r="V41" s="24">
        <f>IF(V$4&gt;=CENT_M3,CENT_V3,IF(V$4&gt;=CENT_M2,CENT_V2,IF(V$4&gt;=CENT_M1,CENT_V1,0)))</f>
        <v/>
      </c>
      <c r="W41" s="24">
        <f>IF(W$4&gt;=CENT_M3,CENT_V3,IF(W$4&gt;=CENT_M2,CENT_V2,IF(W$4&gt;=CENT_M1,CENT_V1,0)))</f>
        <v/>
      </c>
      <c r="X41" s="24">
        <f>IF(X$4&gt;=CENT_M3,CENT_V3,IF(X$4&gt;=CENT_M2,CENT_V2,IF(X$4&gt;=CENT_M1,CENT_V1,0)))</f>
        <v/>
      </c>
      <c r="Y41" s="24">
        <f>IF(Y$4&gt;=CENT_M3,CENT_V3,IF(Y$4&gt;=CENT_M2,CENT_V2,IF(Y$4&gt;=CENT_M1,CENT_V1,0)))</f>
        <v/>
      </c>
      <c r="Z41" s="24">
        <f>IF(Z$4&gt;=CENT_M3,CENT_V3,IF(Z$4&gt;=CENT_M2,CENT_V2,IF(Z$4&gt;=CENT_M1,CENT_V1,0)))</f>
        <v/>
      </c>
      <c r="AA41" s="24">
        <f>IF(AA$4&gt;=CENT_M3,CENT_V3,IF(AA$4&gt;=CENT_M2,CENT_V2,IF(AA$4&gt;=CENT_M1,CENT_V1,0)))</f>
        <v/>
      </c>
      <c r="AB41" s="24">
        <f>IF(AB$4&gt;=CENT_M3,CENT_V3,IF(AB$4&gt;=CENT_M2,CENT_V2,IF(AB$4&gt;=CENT_M1,CENT_V1,0)))</f>
        <v/>
      </c>
      <c r="AC41" s="24">
        <f>IF(AC$4&gt;=CENT_M3,CENT_V3,IF(AC$4&gt;=CENT_M2,CENT_V2,IF(AC$4&gt;=CENT_M1,CENT_V1,0)))</f>
        <v/>
      </c>
      <c r="AD41" s="24">
        <f>IF(AD$4&gt;=CENT_M3,CENT_V3,IF(AD$4&gt;=CENT_M2,CENT_V2,IF(AD$4&gt;=CENT_M1,CENT_V1,0)))</f>
        <v/>
      </c>
      <c r="AE41" s="24">
        <f>IF(AE$4&gt;=CENT_M3,CENT_V3,IF(AE$4&gt;=CENT_M2,CENT_V2,IF(AE$4&gt;=CENT_M1,CENT_V1,0)))</f>
        <v/>
      </c>
      <c r="AF41" s="24">
        <f>IF(AF$4&gt;=CENT_M3,CENT_V3,IF(AF$4&gt;=CENT_M2,CENT_V2,IF(AF$4&gt;=CENT_M1,CENT_V1,0)))</f>
        <v/>
      </c>
      <c r="AG41" s="24">
        <f>IF(AG$4&gt;=CENT_M3,CENT_V3,IF(AG$4&gt;=CENT_M2,CENT_V2,IF(AG$4&gt;=CENT_M1,CENT_V1,0)))</f>
        <v/>
      </c>
      <c r="AH41" s="24">
        <f>IF(AH$4&gt;=CENT_M3,CENT_V3,IF(AH$4&gt;=CENT_M2,CENT_V2,IF(AH$4&gt;=CENT_M1,CENT_V1,0)))</f>
        <v/>
      </c>
      <c r="AI41" s="24">
        <f>IF(AI$4&gt;=CENT_M3,CENT_V3,IF(AI$4&gt;=CENT_M2,CENT_V2,IF(AI$4&gt;=CENT_M1,CENT_V1,0)))</f>
        <v/>
      </c>
      <c r="AJ41" s="24">
        <f>IF(AJ$4&gt;=CENT_M3,CENT_V3,IF(AJ$4&gt;=CENT_M2,CENT_V2,IF(AJ$4&gt;=CENT_M1,CENT_V1,0)))</f>
        <v/>
      </c>
      <c r="AK41" s="24">
        <f>IF(AK$4&gt;=CENT_M3,CENT_V3,IF(AK$4&gt;=CENT_M2,CENT_V2,IF(AK$4&gt;=CENT_M1,CENT_V1,0)))</f>
        <v/>
      </c>
      <c r="AL41" s="24">
        <f>IF(AL$4&gt;=CENT_M3,CENT_V3,IF(AL$4&gt;=CENT_M2,CENT_V2,IF(AL$4&gt;=CENT_M1,CENT_V1,0)))</f>
        <v/>
      </c>
      <c r="AM41" s="24">
        <f>IF(AM$4&gt;=CENT_M3,CENT_V3,IF(AM$4&gt;=CENT_M2,CENT_V2,IF(AM$4&gt;=CENT_M1,CENT_V1,0)))</f>
        <v/>
      </c>
      <c r="AN41" s="24">
        <f>IF(AN$4&gt;=CENT_M3,CENT_V3,IF(AN$4&gt;=CENT_M2,CENT_V2,IF(AN$4&gt;=CENT_M1,CENT_V1,0)))</f>
        <v/>
      </c>
      <c r="AO41" s="24">
        <f>IF(AO$4&gt;=CENT_M3,CENT_V3,IF(AO$4&gt;=CENT_M2,CENT_V2,IF(AO$4&gt;=CENT_M1,CENT_V1,0)))</f>
        <v/>
      </c>
      <c r="AP41" s="24">
        <f>IF(AP$4&gt;=CENT_M3,CENT_V3,IF(AP$4&gt;=CENT_M2,CENT_V2,IF(AP$4&gt;=CENT_M1,CENT_V1,0)))</f>
        <v/>
      </c>
      <c r="AQ41" s="24">
        <f>IF(AQ$4&gt;=CENT_M3,CENT_V3,IF(AQ$4&gt;=CENT_M2,CENT_V2,IF(AQ$4&gt;=CENT_M1,CENT_V1,0)))</f>
        <v/>
      </c>
      <c r="AR41" s="24">
        <f>IF(AR$4&gt;=CENT_M3,CENT_V3,IF(AR$4&gt;=CENT_M2,CENT_V2,IF(AR$4&gt;=CENT_M1,CENT_V1,0)))</f>
        <v/>
      </c>
      <c r="AS41" s="24">
        <f>IF(AS$4&gt;=CENT_M3,CENT_V3,IF(AS$4&gt;=CENT_M2,CENT_V2,IF(AS$4&gt;=CENT_M1,CENT_V1,0)))</f>
        <v/>
      </c>
      <c r="AT41" s="24">
        <f>IF(AT$4&gt;=CENT_M3,CENT_V3,IF(AT$4&gt;=CENT_M2,CENT_V2,IF(AT$4&gt;=CENT_M1,CENT_V1,0)))</f>
        <v/>
      </c>
      <c r="AU41" s="24">
        <f>IF(AU$4&gt;=CENT_M3,CENT_V3,IF(AU$4&gt;=CENT_M2,CENT_V2,IF(AU$4&gt;=CENT_M1,CENT_V1,0)))</f>
        <v/>
      </c>
      <c r="AV41" s="24">
        <f>IF(AV$4&gt;=CENT_M3,CENT_V3,IF(AV$4&gt;=CENT_M2,CENT_V2,IF(AV$4&gt;=CENT_M1,CENT_V1,0)))</f>
        <v/>
      </c>
      <c r="AW41" s="24">
        <f>IF(AW$4&gt;=CENT_M3,CENT_V3,IF(AW$4&gt;=CENT_M2,CENT_V2,IF(AW$4&gt;=CENT_M1,CENT_V1,0)))</f>
        <v/>
      </c>
      <c r="AX41" s="24">
        <f>IF(AX$4&gt;=CENT_M3,CENT_V3,IF(AX$4&gt;=CENT_M2,CENT_V2,IF(AX$4&gt;=CENT_M1,CENT_V1,0)))</f>
        <v/>
      </c>
      <c r="AY41" s="24">
        <f>IF(AY$4&gt;=CENT_M3,CENT_V3,IF(AY$4&gt;=CENT_M2,CENT_V2,IF(AY$4&gt;=CENT_M1,CENT_V1,0)))</f>
        <v/>
      </c>
      <c r="AZ41" s="24">
        <f>IF(AZ$4&gt;=CENT_M3,CENT_V3,IF(AZ$4&gt;=CENT_M2,CENT_V2,IF(AZ$4&gt;=CENT_M1,CENT_V1,0)))</f>
        <v/>
      </c>
      <c r="BA41" s="24">
        <f>IF(BA$4&gt;=CENT_M3,CENT_V3,IF(BA$4&gt;=CENT_M2,CENT_V2,IF(BA$4&gt;=CENT_M1,CENT_V1,0)))</f>
        <v/>
      </c>
      <c r="BB41" s="24">
        <f>IF(BB$4&gt;=CENT_M3,CENT_V3,IF(BB$4&gt;=CENT_M2,CENT_V2,IF(BB$4&gt;=CENT_M1,CENT_V1,0)))</f>
        <v/>
      </c>
      <c r="BC41" s="24">
        <f>IF(BC$4&gt;=CENT_M3,CENT_V3,IF(BC$4&gt;=CENT_M2,CENT_V2,IF(BC$4&gt;=CENT_M1,CENT_V1,0)))</f>
        <v/>
      </c>
      <c r="BD41" s="24">
        <f>IF(BD$4&gt;=CENT_M3,CENT_V3,IF(BD$4&gt;=CENT_M2,CENT_V2,IF(BD$4&gt;=CENT_M1,CENT_V1,0)))</f>
        <v/>
      </c>
      <c r="BE41" s="24">
        <f>IF(BE$4&gt;=CENT_M3,CENT_V3,IF(BE$4&gt;=CENT_M2,CENT_V2,IF(BE$4&gt;=CENT_M1,CENT_V1,0)))</f>
        <v/>
      </c>
      <c r="BF41" s="24">
        <f>IF(BF$4&gt;=CENT_M3,CENT_V3,IF(BF$4&gt;=CENT_M2,CENT_V2,IF(BF$4&gt;=CENT_M1,CENT_V1,0)))</f>
        <v/>
      </c>
      <c r="BG41" s="24">
        <f>IF(BG$4&gt;=CENT_M3,CENT_V3,IF(BG$4&gt;=CENT_M2,CENT_V2,IF(BG$4&gt;=CENT_M1,CENT_V1,0)))</f>
        <v/>
      </c>
      <c r="BH41" s="24">
        <f>IF(BH$4&gt;=CENT_M3,CENT_V3,IF(BH$4&gt;=CENT_M2,CENT_V2,IF(BH$4&gt;=CENT_M1,CENT_V1,0)))</f>
        <v/>
      </c>
      <c r="BI41" s="24">
        <f>IF(BI$4&gt;=CENT_M3,CENT_V3,IF(BI$4&gt;=CENT_M2,CENT_V2,IF(BI$4&gt;=CENT_M1,CENT_V1,0)))</f>
        <v/>
      </c>
      <c r="BJ41" s="24">
        <f>IF(BJ$4&gt;=CENT_M3,CENT_V3,IF(BJ$4&gt;=CENT_M2,CENT_V2,IF(BJ$4&gt;=CENT_M1,CENT_V1,0)))</f>
        <v/>
      </c>
      <c r="BK41" s="24">
        <f>IF(BK$4&gt;=CENT_M3,CENT_V3,IF(BK$4&gt;=CENT_M2,CENT_V2,IF(BK$4&gt;=CENT_M1,CENT_V1,0)))</f>
        <v/>
      </c>
    </row>
    <row r="42">
      <c r="A42" s="14" t="inlineStr">
        <is>
          <t>Marketing</t>
        </is>
      </c>
      <c r="B42" s="3" t="inlineStr"/>
      <c r="C42" s="2" t="n"/>
      <c r="D42" s="24">
        <f>IF(D$4&gt;=MKT_M2,MKT_V2,IF(D$4&gt;=MKT_M1,MKT_V1,0))</f>
        <v/>
      </c>
      <c r="E42" s="24">
        <f>IF(E$4&gt;=MKT_M2,MKT_V2,IF(E$4&gt;=MKT_M1,MKT_V1,0))</f>
        <v/>
      </c>
      <c r="F42" s="24">
        <f>IF(F$4&gt;=MKT_M2,MKT_V2,IF(F$4&gt;=MKT_M1,MKT_V1,0))</f>
        <v/>
      </c>
      <c r="G42" s="24">
        <f>IF(G$4&gt;=MKT_M2,MKT_V2,IF(G$4&gt;=MKT_M1,MKT_V1,0))</f>
        <v/>
      </c>
      <c r="H42" s="24">
        <f>IF(H$4&gt;=MKT_M2,MKT_V2,IF(H$4&gt;=MKT_M1,MKT_V1,0))</f>
        <v/>
      </c>
      <c r="I42" s="24">
        <f>IF(I$4&gt;=MKT_M2,MKT_V2,IF(I$4&gt;=MKT_M1,MKT_V1,0))</f>
        <v/>
      </c>
      <c r="J42" s="24">
        <f>IF(J$4&gt;=MKT_M2,MKT_V2,IF(J$4&gt;=MKT_M1,MKT_V1,0))</f>
        <v/>
      </c>
      <c r="K42" s="24">
        <f>IF(K$4&gt;=MKT_M2,MKT_V2,IF(K$4&gt;=MKT_M1,MKT_V1,0))</f>
        <v/>
      </c>
      <c r="L42" s="24">
        <f>IF(L$4&gt;=MKT_M2,MKT_V2,IF(L$4&gt;=MKT_M1,MKT_V1,0))</f>
        <v/>
      </c>
      <c r="M42" s="24">
        <f>IF(M$4&gt;=MKT_M2,MKT_V2,IF(M$4&gt;=MKT_M1,MKT_V1,0))</f>
        <v/>
      </c>
      <c r="N42" s="24">
        <f>IF(N$4&gt;=MKT_M2,MKT_V2,IF(N$4&gt;=MKT_M1,MKT_V1,0))</f>
        <v/>
      </c>
      <c r="O42" s="24">
        <f>IF(O$4&gt;=MKT_M2,MKT_V2,IF(O$4&gt;=MKT_M1,MKT_V1,0))</f>
        <v/>
      </c>
      <c r="P42" s="24">
        <f>IF(P$4&gt;=MKT_M2,MKT_V2,IF(P$4&gt;=MKT_M1,MKT_V1,0))</f>
        <v/>
      </c>
      <c r="Q42" s="24">
        <f>IF(Q$4&gt;=MKT_M2,MKT_V2,IF(Q$4&gt;=MKT_M1,MKT_V1,0))</f>
        <v/>
      </c>
      <c r="R42" s="24">
        <f>IF(R$4&gt;=MKT_M2,MKT_V2,IF(R$4&gt;=MKT_M1,MKT_V1,0))</f>
        <v/>
      </c>
      <c r="S42" s="24">
        <f>IF(S$4&gt;=MKT_M2,MKT_V2,IF(S$4&gt;=MKT_M1,MKT_V1,0))</f>
        <v/>
      </c>
      <c r="T42" s="24">
        <f>IF(T$4&gt;=MKT_M2,MKT_V2,IF(T$4&gt;=MKT_M1,MKT_V1,0))</f>
        <v/>
      </c>
      <c r="U42" s="24">
        <f>IF(U$4&gt;=MKT_M2,MKT_V2,IF(U$4&gt;=MKT_M1,MKT_V1,0))</f>
        <v/>
      </c>
      <c r="V42" s="24">
        <f>IF(V$4&gt;=MKT_M2,MKT_V2,IF(V$4&gt;=MKT_M1,MKT_V1,0))</f>
        <v/>
      </c>
      <c r="W42" s="24">
        <f>IF(W$4&gt;=MKT_M2,MKT_V2,IF(W$4&gt;=MKT_M1,MKT_V1,0))</f>
        <v/>
      </c>
      <c r="X42" s="24">
        <f>IF(X$4&gt;=MKT_M2,MKT_V2,IF(X$4&gt;=MKT_M1,MKT_V1,0))</f>
        <v/>
      </c>
      <c r="Y42" s="24">
        <f>IF(Y$4&gt;=MKT_M2,MKT_V2,IF(Y$4&gt;=MKT_M1,MKT_V1,0))</f>
        <v/>
      </c>
      <c r="Z42" s="24">
        <f>IF(Z$4&gt;=MKT_M2,MKT_V2,IF(Z$4&gt;=MKT_M1,MKT_V1,0))</f>
        <v/>
      </c>
      <c r="AA42" s="24">
        <f>IF(AA$4&gt;=MKT_M2,MKT_V2,IF(AA$4&gt;=MKT_M1,MKT_V1,0))</f>
        <v/>
      </c>
      <c r="AB42" s="24">
        <f>IF(AB$4&gt;=MKT_M2,MKT_V2,IF(AB$4&gt;=MKT_M1,MKT_V1,0))</f>
        <v/>
      </c>
      <c r="AC42" s="24">
        <f>IF(AC$4&gt;=MKT_M2,MKT_V2,IF(AC$4&gt;=MKT_M1,MKT_V1,0))</f>
        <v/>
      </c>
      <c r="AD42" s="24">
        <f>IF(AD$4&gt;=MKT_M2,MKT_V2,IF(AD$4&gt;=MKT_M1,MKT_V1,0))</f>
        <v/>
      </c>
      <c r="AE42" s="24">
        <f>IF(AE$4&gt;=MKT_M2,MKT_V2,IF(AE$4&gt;=MKT_M1,MKT_V1,0))</f>
        <v/>
      </c>
      <c r="AF42" s="24">
        <f>IF(AF$4&gt;=MKT_M2,MKT_V2,IF(AF$4&gt;=MKT_M1,MKT_V1,0))</f>
        <v/>
      </c>
      <c r="AG42" s="24">
        <f>IF(AG$4&gt;=MKT_M2,MKT_V2,IF(AG$4&gt;=MKT_M1,MKT_V1,0))</f>
        <v/>
      </c>
      <c r="AH42" s="24">
        <f>IF(AH$4&gt;=MKT_M2,MKT_V2,IF(AH$4&gt;=MKT_M1,MKT_V1,0))</f>
        <v/>
      </c>
      <c r="AI42" s="24">
        <f>IF(AI$4&gt;=MKT_M2,MKT_V2,IF(AI$4&gt;=MKT_M1,MKT_V1,0))</f>
        <v/>
      </c>
      <c r="AJ42" s="24">
        <f>IF(AJ$4&gt;=MKT_M2,MKT_V2,IF(AJ$4&gt;=MKT_M1,MKT_V1,0))</f>
        <v/>
      </c>
      <c r="AK42" s="24">
        <f>IF(AK$4&gt;=MKT_M2,MKT_V2,IF(AK$4&gt;=MKT_M1,MKT_V1,0))</f>
        <v/>
      </c>
      <c r="AL42" s="24">
        <f>IF(AL$4&gt;=MKT_M2,MKT_V2,IF(AL$4&gt;=MKT_M1,MKT_V1,0))</f>
        <v/>
      </c>
      <c r="AM42" s="24">
        <f>IF(AM$4&gt;=MKT_M2,MKT_V2,IF(AM$4&gt;=MKT_M1,MKT_V1,0))</f>
        <v/>
      </c>
      <c r="AN42" s="24">
        <f>IF(AN$4&gt;=MKT_M2,MKT_V2,IF(AN$4&gt;=MKT_M1,MKT_V1,0))</f>
        <v/>
      </c>
      <c r="AO42" s="24">
        <f>IF(AO$4&gt;=MKT_M2,MKT_V2,IF(AO$4&gt;=MKT_M1,MKT_V1,0))</f>
        <v/>
      </c>
      <c r="AP42" s="24">
        <f>IF(AP$4&gt;=MKT_M2,MKT_V2,IF(AP$4&gt;=MKT_M1,MKT_V1,0))</f>
        <v/>
      </c>
      <c r="AQ42" s="24">
        <f>IF(AQ$4&gt;=MKT_M2,MKT_V2,IF(AQ$4&gt;=MKT_M1,MKT_V1,0))</f>
        <v/>
      </c>
      <c r="AR42" s="24">
        <f>IF(AR$4&gt;=MKT_M2,MKT_V2,IF(AR$4&gt;=MKT_M1,MKT_V1,0))</f>
        <v/>
      </c>
      <c r="AS42" s="24">
        <f>IF(AS$4&gt;=MKT_M2,MKT_V2,IF(AS$4&gt;=MKT_M1,MKT_V1,0))</f>
        <v/>
      </c>
      <c r="AT42" s="24">
        <f>IF(AT$4&gt;=MKT_M2,MKT_V2,IF(AT$4&gt;=MKT_M1,MKT_V1,0))</f>
        <v/>
      </c>
      <c r="AU42" s="24">
        <f>IF(AU$4&gt;=MKT_M2,MKT_V2,IF(AU$4&gt;=MKT_M1,MKT_V1,0))</f>
        <v/>
      </c>
      <c r="AV42" s="24">
        <f>IF(AV$4&gt;=MKT_M2,MKT_V2,IF(AV$4&gt;=MKT_M1,MKT_V1,0))</f>
        <v/>
      </c>
      <c r="AW42" s="24">
        <f>IF(AW$4&gt;=MKT_M2,MKT_V2,IF(AW$4&gt;=MKT_M1,MKT_V1,0))</f>
        <v/>
      </c>
      <c r="AX42" s="24">
        <f>IF(AX$4&gt;=MKT_M2,MKT_V2,IF(AX$4&gt;=MKT_M1,MKT_V1,0))</f>
        <v/>
      </c>
      <c r="AY42" s="24">
        <f>IF(AY$4&gt;=MKT_M2,MKT_V2,IF(AY$4&gt;=MKT_M1,MKT_V1,0))</f>
        <v/>
      </c>
      <c r="AZ42" s="24">
        <f>IF(AZ$4&gt;=MKT_M2,MKT_V2,IF(AZ$4&gt;=MKT_M1,MKT_V1,0))</f>
        <v/>
      </c>
      <c r="BA42" s="24">
        <f>IF(BA$4&gt;=MKT_M2,MKT_V2,IF(BA$4&gt;=MKT_M1,MKT_V1,0))</f>
        <v/>
      </c>
      <c r="BB42" s="24">
        <f>IF(BB$4&gt;=MKT_M2,MKT_V2,IF(BB$4&gt;=MKT_M1,MKT_V1,0))</f>
        <v/>
      </c>
      <c r="BC42" s="24">
        <f>IF(BC$4&gt;=MKT_M2,MKT_V2,IF(BC$4&gt;=MKT_M1,MKT_V1,0))</f>
        <v/>
      </c>
      <c r="BD42" s="24">
        <f>IF(BD$4&gt;=MKT_M2,MKT_V2,IF(BD$4&gt;=MKT_M1,MKT_V1,0))</f>
        <v/>
      </c>
      <c r="BE42" s="24">
        <f>IF(BE$4&gt;=MKT_M2,MKT_V2,IF(BE$4&gt;=MKT_M1,MKT_V1,0))</f>
        <v/>
      </c>
      <c r="BF42" s="24">
        <f>IF(BF$4&gt;=MKT_M2,MKT_V2,IF(BF$4&gt;=MKT_M1,MKT_V1,0))</f>
        <v/>
      </c>
      <c r="BG42" s="24">
        <f>IF(BG$4&gt;=MKT_M2,MKT_V2,IF(BG$4&gt;=MKT_M1,MKT_V1,0))</f>
        <v/>
      </c>
      <c r="BH42" s="24">
        <f>IF(BH$4&gt;=MKT_M2,MKT_V2,IF(BH$4&gt;=MKT_M1,MKT_V1,0))</f>
        <v/>
      </c>
      <c r="BI42" s="24">
        <f>IF(BI$4&gt;=MKT_M2,MKT_V2,IF(BI$4&gt;=MKT_M1,MKT_V1,0))</f>
        <v/>
      </c>
      <c r="BJ42" s="24">
        <f>IF(BJ$4&gt;=MKT_M2,MKT_V2,IF(BJ$4&gt;=MKT_M1,MKT_V1,0))</f>
        <v/>
      </c>
      <c r="BK42" s="24">
        <f>IF(BK$4&gt;=MKT_M2,MKT_V2,IF(BK$4&gt;=MKT_M1,MKT_V1,0))</f>
        <v/>
      </c>
    </row>
    <row r="43">
      <c r="A43" s="30" t="inlineStr">
        <is>
          <t>Central overhead</t>
        </is>
      </c>
      <c r="B43" s="3" t="inlineStr"/>
      <c r="C43" s="2" t="n"/>
      <c r="D43" s="33">
        <f>SUM(D41:D42)</f>
        <v/>
      </c>
      <c r="E43" s="33">
        <f>SUM(E41:E42)</f>
        <v/>
      </c>
      <c r="F43" s="33">
        <f>SUM(F41:F42)</f>
        <v/>
      </c>
      <c r="G43" s="33">
        <f>SUM(G41:G42)</f>
        <v/>
      </c>
      <c r="H43" s="33">
        <f>SUM(H41:H42)</f>
        <v/>
      </c>
      <c r="I43" s="33">
        <f>SUM(I41:I42)</f>
        <v/>
      </c>
      <c r="J43" s="33">
        <f>SUM(J41:J42)</f>
        <v/>
      </c>
      <c r="K43" s="33">
        <f>SUM(K41:K42)</f>
        <v/>
      </c>
      <c r="L43" s="33">
        <f>SUM(L41:L42)</f>
        <v/>
      </c>
      <c r="M43" s="33">
        <f>SUM(M41:M42)</f>
        <v/>
      </c>
      <c r="N43" s="33">
        <f>SUM(N41:N42)</f>
        <v/>
      </c>
      <c r="O43" s="33">
        <f>SUM(O41:O42)</f>
        <v/>
      </c>
      <c r="P43" s="33">
        <f>SUM(P41:P42)</f>
        <v/>
      </c>
      <c r="Q43" s="33">
        <f>SUM(Q41:Q42)</f>
        <v/>
      </c>
      <c r="R43" s="33">
        <f>SUM(R41:R42)</f>
        <v/>
      </c>
      <c r="S43" s="33">
        <f>SUM(S41:S42)</f>
        <v/>
      </c>
      <c r="T43" s="33">
        <f>SUM(T41:T42)</f>
        <v/>
      </c>
      <c r="U43" s="33">
        <f>SUM(U41:U42)</f>
        <v/>
      </c>
      <c r="V43" s="33">
        <f>SUM(V41:V42)</f>
        <v/>
      </c>
      <c r="W43" s="33">
        <f>SUM(W41:W42)</f>
        <v/>
      </c>
      <c r="X43" s="33">
        <f>SUM(X41:X42)</f>
        <v/>
      </c>
      <c r="Y43" s="33">
        <f>SUM(Y41:Y42)</f>
        <v/>
      </c>
      <c r="Z43" s="33">
        <f>SUM(Z41:Z42)</f>
        <v/>
      </c>
      <c r="AA43" s="33">
        <f>SUM(AA41:AA42)</f>
        <v/>
      </c>
      <c r="AB43" s="33">
        <f>SUM(AB41:AB42)</f>
        <v/>
      </c>
      <c r="AC43" s="33">
        <f>SUM(AC41:AC42)</f>
        <v/>
      </c>
      <c r="AD43" s="33">
        <f>SUM(AD41:AD42)</f>
        <v/>
      </c>
      <c r="AE43" s="33">
        <f>SUM(AE41:AE42)</f>
        <v/>
      </c>
      <c r="AF43" s="33">
        <f>SUM(AF41:AF42)</f>
        <v/>
      </c>
      <c r="AG43" s="33">
        <f>SUM(AG41:AG42)</f>
        <v/>
      </c>
      <c r="AH43" s="33">
        <f>SUM(AH41:AH42)</f>
        <v/>
      </c>
      <c r="AI43" s="33">
        <f>SUM(AI41:AI42)</f>
        <v/>
      </c>
      <c r="AJ43" s="33">
        <f>SUM(AJ41:AJ42)</f>
        <v/>
      </c>
      <c r="AK43" s="33">
        <f>SUM(AK41:AK42)</f>
        <v/>
      </c>
      <c r="AL43" s="33">
        <f>SUM(AL41:AL42)</f>
        <v/>
      </c>
      <c r="AM43" s="33">
        <f>SUM(AM41:AM42)</f>
        <v/>
      </c>
      <c r="AN43" s="33">
        <f>SUM(AN41:AN42)</f>
        <v/>
      </c>
      <c r="AO43" s="33">
        <f>SUM(AO41:AO42)</f>
        <v/>
      </c>
      <c r="AP43" s="33">
        <f>SUM(AP41:AP42)</f>
        <v/>
      </c>
      <c r="AQ43" s="33">
        <f>SUM(AQ41:AQ42)</f>
        <v/>
      </c>
      <c r="AR43" s="33">
        <f>SUM(AR41:AR42)</f>
        <v/>
      </c>
      <c r="AS43" s="33">
        <f>SUM(AS41:AS42)</f>
        <v/>
      </c>
      <c r="AT43" s="33">
        <f>SUM(AT41:AT42)</f>
        <v/>
      </c>
      <c r="AU43" s="33">
        <f>SUM(AU41:AU42)</f>
        <v/>
      </c>
      <c r="AV43" s="33">
        <f>SUM(AV41:AV42)</f>
        <v/>
      </c>
      <c r="AW43" s="33">
        <f>SUM(AW41:AW42)</f>
        <v/>
      </c>
      <c r="AX43" s="33">
        <f>SUM(AX41:AX42)</f>
        <v/>
      </c>
      <c r="AY43" s="33">
        <f>SUM(AY41:AY42)</f>
        <v/>
      </c>
      <c r="AZ43" s="33">
        <f>SUM(AZ41:AZ42)</f>
        <v/>
      </c>
      <c r="BA43" s="33">
        <f>SUM(BA41:BA42)</f>
        <v/>
      </c>
      <c r="BB43" s="33">
        <f>SUM(BB41:BB42)</f>
        <v/>
      </c>
      <c r="BC43" s="33">
        <f>SUM(BC41:BC42)</f>
        <v/>
      </c>
      <c r="BD43" s="33">
        <f>SUM(BD41:BD42)</f>
        <v/>
      </c>
      <c r="BE43" s="33">
        <f>SUM(BE41:BE42)</f>
        <v/>
      </c>
      <c r="BF43" s="33">
        <f>SUM(BF41:BF42)</f>
        <v/>
      </c>
      <c r="BG43" s="33">
        <f>SUM(BG41:BG42)</f>
        <v/>
      </c>
      <c r="BH43" s="33">
        <f>SUM(BH41:BH42)</f>
        <v/>
      </c>
      <c r="BI43" s="33">
        <f>SUM(BI41:BI42)</f>
        <v/>
      </c>
      <c r="BJ43" s="33">
        <f>SUM(BJ41:BJ42)</f>
        <v/>
      </c>
      <c r="BK43" s="33">
        <f>SUM(BK41:BK42)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</row>
    <row r="45">
      <c r="A45" s="30" t="inlineStr">
        <is>
          <t>Operating costs</t>
        </is>
      </c>
      <c r="B45" s="3" t="inlineStr"/>
      <c r="C45" s="2" t="n"/>
      <c r="D45" s="33">
        <f>D18+D32+D38+D43</f>
        <v/>
      </c>
      <c r="E45" s="33">
        <f>E18+E32+E38+E43</f>
        <v/>
      </c>
      <c r="F45" s="33">
        <f>F18+F32+F38+F43</f>
        <v/>
      </c>
      <c r="G45" s="33">
        <f>G18+G32+G38+G43</f>
        <v/>
      </c>
      <c r="H45" s="33">
        <f>H18+H32+H38+H43</f>
        <v/>
      </c>
      <c r="I45" s="33">
        <f>I18+I32+I38+I43</f>
        <v/>
      </c>
      <c r="J45" s="33">
        <f>J18+J32+J38+J43</f>
        <v/>
      </c>
      <c r="K45" s="33">
        <f>K18+K32+K38+K43</f>
        <v/>
      </c>
      <c r="L45" s="33">
        <f>L18+L32+L38+L43</f>
        <v/>
      </c>
      <c r="M45" s="33">
        <f>M18+M32+M38+M43</f>
        <v/>
      </c>
      <c r="N45" s="33">
        <f>N18+N32+N38+N43</f>
        <v/>
      </c>
      <c r="O45" s="33">
        <f>O18+O32+O38+O43</f>
        <v/>
      </c>
      <c r="P45" s="33">
        <f>P18+P32+P38+P43</f>
        <v/>
      </c>
      <c r="Q45" s="33">
        <f>Q18+Q32+Q38+Q43</f>
        <v/>
      </c>
      <c r="R45" s="33">
        <f>R18+R32+R38+R43</f>
        <v/>
      </c>
      <c r="S45" s="33">
        <f>S18+S32+S38+S43</f>
        <v/>
      </c>
      <c r="T45" s="33">
        <f>T18+T32+T38+T43</f>
        <v/>
      </c>
      <c r="U45" s="33">
        <f>U18+U32+U38+U43</f>
        <v/>
      </c>
      <c r="V45" s="33">
        <f>V18+V32+V38+V43</f>
        <v/>
      </c>
      <c r="W45" s="33">
        <f>W18+W32+W38+W43</f>
        <v/>
      </c>
      <c r="X45" s="33">
        <f>X18+X32+X38+X43</f>
        <v/>
      </c>
      <c r="Y45" s="33">
        <f>Y18+Y32+Y38+Y43</f>
        <v/>
      </c>
      <c r="Z45" s="33">
        <f>Z18+Z32+Z38+Z43</f>
        <v/>
      </c>
      <c r="AA45" s="33">
        <f>AA18+AA32+AA38+AA43</f>
        <v/>
      </c>
      <c r="AB45" s="33">
        <f>AB18+AB32+AB38+AB43</f>
        <v/>
      </c>
      <c r="AC45" s="33">
        <f>AC18+AC32+AC38+AC43</f>
        <v/>
      </c>
      <c r="AD45" s="33">
        <f>AD18+AD32+AD38+AD43</f>
        <v/>
      </c>
      <c r="AE45" s="33">
        <f>AE18+AE32+AE38+AE43</f>
        <v/>
      </c>
      <c r="AF45" s="33">
        <f>AF18+AF32+AF38+AF43</f>
        <v/>
      </c>
      <c r="AG45" s="33">
        <f>AG18+AG32+AG38+AG43</f>
        <v/>
      </c>
      <c r="AH45" s="33">
        <f>AH18+AH32+AH38+AH43</f>
        <v/>
      </c>
      <c r="AI45" s="33">
        <f>AI18+AI32+AI38+AI43</f>
        <v/>
      </c>
      <c r="AJ45" s="33">
        <f>AJ18+AJ32+AJ38+AJ43</f>
        <v/>
      </c>
      <c r="AK45" s="33">
        <f>AK18+AK32+AK38+AK43</f>
        <v/>
      </c>
      <c r="AL45" s="33">
        <f>AL18+AL32+AL38+AL43</f>
        <v/>
      </c>
      <c r="AM45" s="33">
        <f>AM18+AM32+AM38+AM43</f>
        <v/>
      </c>
      <c r="AN45" s="33">
        <f>AN18+AN32+AN38+AN43</f>
        <v/>
      </c>
      <c r="AO45" s="33">
        <f>AO18+AO32+AO38+AO43</f>
        <v/>
      </c>
      <c r="AP45" s="33">
        <f>AP18+AP32+AP38+AP43</f>
        <v/>
      </c>
      <c r="AQ45" s="33">
        <f>AQ18+AQ32+AQ38+AQ43</f>
        <v/>
      </c>
      <c r="AR45" s="33">
        <f>AR18+AR32+AR38+AR43</f>
        <v/>
      </c>
      <c r="AS45" s="33">
        <f>AS18+AS32+AS38+AS43</f>
        <v/>
      </c>
      <c r="AT45" s="33">
        <f>AT18+AT32+AT38+AT43</f>
        <v/>
      </c>
      <c r="AU45" s="33">
        <f>AU18+AU32+AU38+AU43</f>
        <v/>
      </c>
      <c r="AV45" s="33">
        <f>AV18+AV32+AV38+AV43</f>
        <v/>
      </c>
      <c r="AW45" s="33">
        <f>AW18+AW32+AW38+AW43</f>
        <v/>
      </c>
      <c r="AX45" s="33">
        <f>AX18+AX32+AX38+AX43</f>
        <v/>
      </c>
      <c r="AY45" s="33">
        <f>AY18+AY32+AY38+AY43</f>
        <v/>
      </c>
      <c r="AZ45" s="33">
        <f>AZ18+AZ32+AZ38+AZ43</f>
        <v/>
      </c>
      <c r="BA45" s="33">
        <f>BA18+BA32+BA38+BA43</f>
        <v/>
      </c>
      <c r="BB45" s="33">
        <f>BB18+BB32+BB38+BB43</f>
        <v/>
      </c>
      <c r="BC45" s="33">
        <f>BC18+BC32+BC38+BC43</f>
        <v/>
      </c>
      <c r="BD45" s="33">
        <f>BD18+BD32+BD38+BD43</f>
        <v/>
      </c>
      <c r="BE45" s="33">
        <f>BE18+BE32+BE38+BE43</f>
        <v/>
      </c>
      <c r="BF45" s="33">
        <f>BF18+BF32+BF38+BF43</f>
        <v/>
      </c>
      <c r="BG45" s="33">
        <f>BG18+BG32+BG38+BG43</f>
        <v/>
      </c>
      <c r="BH45" s="33">
        <f>BH18+BH32+BH38+BH43</f>
        <v/>
      </c>
      <c r="BI45" s="33">
        <f>BI18+BI32+BI38+BI43</f>
        <v/>
      </c>
      <c r="BJ45" s="33">
        <f>BJ18+BJ32+BJ38+BJ43</f>
        <v/>
      </c>
      <c r="BK45" s="33">
        <f>BK18+BK32+BK38+BK43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</cols>
  <sheetData>
    <row r="1">
      <c r="A1" s="1" t="inlineStr">
        <is>
          <t>Ilé: p&amp;l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s="3" t="inlineStr">
        <is>
          <t>Revenue by line, the four cost buckets, EBITDA. Before tax and depreciation.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</row>
    <row r="4">
      <c r="A4" s="4" t="inlineStr">
        <is>
          <t>Month</t>
        </is>
      </c>
      <c r="B4" s="2" t="n"/>
      <c r="C4" s="2" t="n"/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4" t="n">
        <v>37</v>
      </c>
      <c r="AO4" s="4" t="n">
        <v>38</v>
      </c>
      <c r="AP4" s="4" t="n">
        <v>39</v>
      </c>
      <c r="AQ4" s="4" t="n">
        <v>40</v>
      </c>
      <c r="AR4" s="4" t="n">
        <v>41</v>
      </c>
      <c r="AS4" s="4" t="n">
        <v>42</v>
      </c>
      <c r="AT4" s="4" t="n">
        <v>43</v>
      </c>
      <c r="AU4" s="4" t="n">
        <v>44</v>
      </c>
      <c r="AV4" s="4" t="n">
        <v>45</v>
      </c>
      <c r="AW4" s="4" t="n">
        <v>46</v>
      </c>
      <c r="AX4" s="4" t="n">
        <v>47</v>
      </c>
      <c r="AY4" s="4" t="n">
        <v>48</v>
      </c>
      <c r="AZ4" s="4" t="n">
        <v>49</v>
      </c>
      <c r="BA4" s="4" t="n">
        <v>50</v>
      </c>
      <c r="BB4" s="4" t="n">
        <v>51</v>
      </c>
      <c r="BC4" s="4" t="n">
        <v>52</v>
      </c>
      <c r="BD4" s="4" t="n">
        <v>53</v>
      </c>
      <c r="BE4" s="4" t="n">
        <v>54</v>
      </c>
      <c r="BF4" s="4" t="n">
        <v>55</v>
      </c>
      <c r="BG4" s="4" t="n">
        <v>56</v>
      </c>
      <c r="BH4" s="4" t="n">
        <v>57</v>
      </c>
      <c r="BI4" s="4" t="n">
        <v>58</v>
      </c>
      <c r="BJ4" s="4" t="n">
        <v>59</v>
      </c>
      <c r="BK4" s="4" t="n">
        <v>60</v>
      </c>
    </row>
    <row r="5">
      <c r="A5" s="4" t="inlineStr">
        <is>
          <t>Period</t>
        </is>
      </c>
      <c r="B5" s="2" t="n"/>
      <c r="C5" s="2" t="n"/>
      <c r="D5" s="28" t="inlineStr">
        <is>
          <t>Nov 2026</t>
        </is>
      </c>
      <c r="E5" s="28" t="inlineStr">
        <is>
          <t>Dec 2026</t>
        </is>
      </c>
      <c r="F5" s="28" t="inlineStr">
        <is>
          <t>Jan 2027</t>
        </is>
      </c>
      <c r="G5" s="28" t="inlineStr">
        <is>
          <t>Feb 2027</t>
        </is>
      </c>
      <c r="H5" s="28" t="inlineStr">
        <is>
          <t>Mar 2027</t>
        </is>
      </c>
      <c r="I5" s="28" t="inlineStr">
        <is>
          <t>Apr 2027</t>
        </is>
      </c>
      <c r="J5" s="28" t="inlineStr">
        <is>
          <t>May 2027</t>
        </is>
      </c>
      <c r="K5" s="28" t="inlineStr">
        <is>
          <t>Jun 2027</t>
        </is>
      </c>
      <c r="L5" s="28" t="inlineStr">
        <is>
          <t>Jul 2027</t>
        </is>
      </c>
      <c r="M5" s="28" t="inlineStr">
        <is>
          <t>Aug 2027</t>
        </is>
      </c>
      <c r="N5" s="28" t="inlineStr">
        <is>
          <t>Sep 2027</t>
        </is>
      </c>
      <c r="O5" s="28" t="inlineStr">
        <is>
          <t>Oct 2027</t>
        </is>
      </c>
      <c r="P5" s="28" t="inlineStr">
        <is>
          <t>Nov 2027</t>
        </is>
      </c>
      <c r="Q5" s="28" t="inlineStr">
        <is>
          <t>Dec 2027</t>
        </is>
      </c>
      <c r="R5" s="28" t="inlineStr">
        <is>
          <t>Jan 2028</t>
        </is>
      </c>
      <c r="S5" s="28" t="inlineStr">
        <is>
          <t>Feb 2028</t>
        </is>
      </c>
      <c r="T5" s="28" t="inlineStr">
        <is>
          <t>Mar 2028</t>
        </is>
      </c>
      <c r="U5" s="28" t="inlineStr">
        <is>
          <t>Apr 2028</t>
        </is>
      </c>
      <c r="V5" s="28" t="inlineStr">
        <is>
          <t>May 2028</t>
        </is>
      </c>
      <c r="W5" s="28" t="inlineStr">
        <is>
          <t>Jun 2028</t>
        </is>
      </c>
      <c r="X5" s="28" t="inlineStr">
        <is>
          <t>Jul 2028</t>
        </is>
      </c>
      <c r="Y5" s="28" t="inlineStr">
        <is>
          <t>Aug 2028</t>
        </is>
      </c>
      <c r="Z5" s="28" t="inlineStr">
        <is>
          <t>Sep 2028</t>
        </is>
      </c>
      <c r="AA5" s="28" t="inlineStr">
        <is>
          <t>Oct 2028</t>
        </is>
      </c>
      <c r="AB5" s="28" t="inlineStr">
        <is>
          <t>Nov 2028</t>
        </is>
      </c>
      <c r="AC5" s="28" t="inlineStr">
        <is>
          <t>Dec 2028</t>
        </is>
      </c>
      <c r="AD5" s="28" t="inlineStr">
        <is>
          <t>Jan 2029</t>
        </is>
      </c>
      <c r="AE5" s="28" t="inlineStr">
        <is>
          <t>Feb 2029</t>
        </is>
      </c>
      <c r="AF5" s="28" t="inlineStr">
        <is>
          <t>Mar 2029</t>
        </is>
      </c>
      <c r="AG5" s="28" t="inlineStr">
        <is>
          <t>Apr 2029</t>
        </is>
      </c>
      <c r="AH5" s="28" t="inlineStr">
        <is>
          <t>May 2029</t>
        </is>
      </c>
      <c r="AI5" s="28" t="inlineStr">
        <is>
          <t>Jun 2029</t>
        </is>
      </c>
      <c r="AJ5" s="28" t="inlineStr">
        <is>
          <t>Jul 2029</t>
        </is>
      </c>
      <c r="AK5" s="28" t="inlineStr">
        <is>
          <t>Aug 2029</t>
        </is>
      </c>
      <c r="AL5" s="28" t="inlineStr">
        <is>
          <t>Sep 2029</t>
        </is>
      </c>
      <c r="AM5" s="28" t="inlineStr">
        <is>
          <t>Oct 2029</t>
        </is>
      </c>
      <c r="AN5" s="28" t="inlineStr">
        <is>
          <t>Nov 2029</t>
        </is>
      </c>
      <c r="AO5" s="28" t="inlineStr">
        <is>
          <t>Dec 2029</t>
        </is>
      </c>
      <c r="AP5" s="28" t="inlineStr">
        <is>
          <t>Jan 2030</t>
        </is>
      </c>
      <c r="AQ5" s="28" t="inlineStr">
        <is>
          <t>Feb 2030</t>
        </is>
      </c>
      <c r="AR5" s="28" t="inlineStr">
        <is>
          <t>Mar 2030</t>
        </is>
      </c>
      <c r="AS5" s="28" t="inlineStr">
        <is>
          <t>Apr 2030</t>
        </is>
      </c>
      <c r="AT5" s="28" t="inlineStr">
        <is>
          <t>May 2030</t>
        </is>
      </c>
      <c r="AU5" s="28" t="inlineStr">
        <is>
          <t>Jun 2030</t>
        </is>
      </c>
      <c r="AV5" s="28" t="inlineStr">
        <is>
          <t>Jul 2030</t>
        </is>
      </c>
      <c r="AW5" s="28" t="inlineStr">
        <is>
          <t>Aug 2030</t>
        </is>
      </c>
      <c r="AX5" s="28" t="inlineStr">
        <is>
          <t>Sep 2030</t>
        </is>
      </c>
      <c r="AY5" s="28" t="inlineStr">
        <is>
          <t>Oct 2030</t>
        </is>
      </c>
      <c r="AZ5" s="28" t="inlineStr">
        <is>
          <t>Nov 2030</t>
        </is>
      </c>
      <c r="BA5" s="28" t="inlineStr">
        <is>
          <t>Dec 2030</t>
        </is>
      </c>
      <c r="BB5" s="28" t="inlineStr">
        <is>
          <t>Jan 2031</t>
        </is>
      </c>
      <c r="BC5" s="28" t="inlineStr">
        <is>
          <t>Feb 2031</t>
        </is>
      </c>
      <c r="BD5" s="28" t="inlineStr">
        <is>
          <t>Mar 2031</t>
        </is>
      </c>
      <c r="BE5" s="28" t="inlineStr">
        <is>
          <t>Apr 2031</t>
        </is>
      </c>
      <c r="BF5" s="28" t="inlineStr">
        <is>
          <t>May 2031</t>
        </is>
      </c>
      <c r="BG5" s="28" t="inlineStr">
        <is>
          <t>Jun 2031</t>
        </is>
      </c>
      <c r="BH5" s="28" t="inlineStr">
        <is>
          <t>Jul 2031</t>
        </is>
      </c>
      <c r="BI5" s="28" t="inlineStr">
        <is>
          <t>Aug 2031</t>
        </is>
      </c>
      <c r="BJ5" s="28" t="inlineStr">
        <is>
          <t>Sep 2031</t>
        </is>
      </c>
      <c r="BK5" s="28" t="inlineStr">
        <is>
          <t>Oct 2031</t>
        </is>
      </c>
    </row>
    <row r="6">
      <c r="A6" s="4" t="inlineStr">
        <is>
          <t>Model year</t>
        </is>
      </c>
      <c r="B6" s="2" t="n"/>
      <c r="C6" s="2" t="n"/>
      <c r="D6" s="14">
        <f>INT((D$4-1)/12)+1</f>
        <v/>
      </c>
      <c r="E6" s="14">
        <f>INT((E$4-1)/12)+1</f>
        <v/>
      </c>
      <c r="F6" s="14">
        <f>INT((F$4-1)/12)+1</f>
        <v/>
      </c>
      <c r="G6" s="14">
        <f>INT((G$4-1)/12)+1</f>
        <v/>
      </c>
      <c r="H6" s="14">
        <f>INT((H$4-1)/12)+1</f>
        <v/>
      </c>
      <c r="I6" s="14">
        <f>INT((I$4-1)/12)+1</f>
        <v/>
      </c>
      <c r="J6" s="14">
        <f>INT((J$4-1)/12)+1</f>
        <v/>
      </c>
      <c r="K6" s="14">
        <f>INT((K$4-1)/12)+1</f>
        <v/>
      </c>
      <c r="L6" s="14">
        <f>INT((L$4-1)/12)+1</f>
        <v/>
      </c>
      <c r="M6" s="14">
        <f>INT((M$4-1)/12)+1</f>
        <v/>
      </c>
      <c r="N6" s="14">
        <f>INT((N$4-1)/12)+1</f>
        <v/>
      </c>
      <c r="O6" s="14">
        <f>INT((O$4-1)/12)+1</f>
        <v/>
      </c>
      <c r="P6" s="14">
        <f>INT((P$4-1)/12)+1</f>
        <v/>
      </c>
      <c r="Q6" s="14">
        <f>INT((Q$4-1)/12)+1</f>
        <v/>
      </c>
      <c r="R6" s="14">
        <f>INT((R$4-1)/12)+1</f>
        <v/>
      </c>
      <c r="S6" s="14">
        <f>INT((S$4-1)/12)+1</f>
        <v/>
      </c>
      <c r="T6" s="14">
        <f>INT((T$4-1)/12)+1</f>
        <v/>
      </c>
      <c r="U6" s="14">
        <f>INT((U$4-1)/12)+1</f>
        <v/>
      </c>
      <c r="V6" s="14">
        <f>INT((V$4-1)/12)+1</f>
        <v/>
      </c>
      <c r="W6" s="14">
        <f>INT((W$4-1)/12)+1</f>
        <v/>
      </c>
      <c r="X6" s="14">
        <f>INT((X$4-1)/12)+1</f>
        <v/>
      </c>
      <c r="Y6" s="14">
        <f>INT((Y$4-1)/12)+1</f>
        <v/>
      </c>
      <c r="Z6" s="14">
        <f>INT((Z$4-1)/12)+1</f>
        <v/>
      </c>
      <c r="AA6" s="14">
        <f>INT((AA$4-1)/12)+1</f>
        <v/>
      </c>
      <c r="AB6" s="14">
        <f>INT((AB$4-1)/12)+1</f>
        <v/>
      </c>
      <c r="AC6" s="14">
        <f>INT((AC$4-1)/12)+1</f>
        <v/>
      </c>
      <c r="AD6" s="14">
        <f>INT((AD$4-1)/12)+1</f>
        <v/>
      </c>
      <c r="AE6" s="14">
        <f>INT((AE$4-1)/12)+1</f>
        <v/>
      </c>
      <c r="AF6" s="14">
        <f>INT((AF$4-1)/12)+1</f>
        <v/>
      </c>
      <c r="AG6" s="14">
        <f>INT((AG$4-1)/12)+1</f>
        <v/>
      </c>
      <c r="AH6" s="14">
        <f>INT((AH$4-1)/12)+1</f>
        <v/>
      </c>
      <c r="AI6" s="14">
        <f>INT((AI$4-1)/12)+1</f>
        <v/>
      </c>
      <c r="AJ6" s="14">
        <f>INT((AJ$4-1)/12)+1</f>
        <v/>
      </c>
      <c r="AK6" s="14">
        <f>INT((AK$4-1)/12)+1</f>
        <v/>
      </c>
      <c r="AL6" s="14">
        <f>INT((AL$4-1)/12)+1</f>
        <v/>
      </c>
      <c r="AM6" s="14">
        <f>INT((AM$4-1)/12)+1</f>
        <v/>
      </c>
      <c r="AN6" s="14">
        <f>INT((AN$4-1)/12)+1</f>
        <v/>
      </c>
      <c r="AO6" s="14">
        <f>INT((AO$4-1)/12)+1</f>
        <v/>
      </c>
      <c r="AP6" s="14">
        <f>INT((AP$4-1)/12)+1</f>
        <v/>
      </c>
      <c r="AQ6" s="14">
        <f>INT((AQ$4-1)/12)+1</f>
        <v/>
      </c>
      <c r="AR6" s="14">
        <f>INT((AR$4-1)/12)+1</f>
        <v/>
      </c>
      <c r="AS6" s="14">
        <f>INT((AS$4-1)/12)+1</f>
        <v/>
      </c>
      <c r="AT6" s="14">
        <f>INT((AT$4-1)/12)+1</f>
        <v/>
      </c>
      <c r="AU6" s="14">
        <f>INT((AU$4-1)/12)+1</f>
        <v/>
      </c>
      <c r="AV6" s="14">
        <f>INT((AV$4-1)/12)+1</f>
        <v/>
      </c>
      <c r="AW6" s="14">
        <f>INT((AW$4-1)/12)+1</f>
        <v/>
      </c>
      <c r="AX6" s="14">
        <f>INT((AX$4-1)/12)+1</f>
        <v/>
      </c>
      <c r="AY6" s="14">
        <f>INT((AY$4-1)/12)+1</f>
        <v/>
      </c>
      <c r="AZ6" s="14">
        <f>INT((AZ$4-1)/12)+1</f>
        <v/>
      </c>
      <c r="BA6" s="14">
        <f>INT((BA$4-1)/12)+1</f>
        <v/>
      </c>
      <c r="BB6" s="14">
        <f>INT((BB$4-1)/12)+1</f>
        <v/>
      </c>
      <c r="BC6" s="14">
        <f>INT((BC$4-1)/12)+1</f>
        <v/>
      </c>
      <c r="BD6" s="14">
        <f>INT((BD$4-1)/12)+1</f>
        <v/>
      </c>
      <c r="BE6" s="14">
        <f>INT((BE$4-1)/12)+1</f>
        <v/>
      </c>
      <c r="BF6" s="14">
        <f>INT((BF$4-1)/12)+1</f>
        <v/>
      </c>
      <c r="BG6" s="14">
        <f>INT((BG$4-1)/12)+1</f>
        <v/>
      </c>
      <c r="BH6" s="14">
        <f>INT((BH$4-1)/12)+1</f>
        <v/>
      </c>
      <c r="BI6" s="14">
        <f>INT((BI$4-1)/12)+1</f>
        <v/>
      </c>
      <c r="BJ6" s="14">
        <f>INT((BJ$4-1)/12)+1</f>
        <v/>
      </c>
      <c r="BK6" s="14">
        <f>INT((BK$4-1)/12)+1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</row>
    <row r="8">
      <c r="A8" s="12" t="inlineStr">
        <is>
          <t>Revenue</t>
        </is>
      </c>
      <c r="B8" s="13" t="n"/>
      <c r="C8" s="1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</row>
    <row r="9">
      <c r="A9" s="9" t="inlineStr">
        <is>
          <t>Care in the home</t>
        </is>
      </c>
      <c r="B9" s="3" t="inlineStr"/>
      <c r="C9" s="2" t="n"/>
      <c r="D9" s="24">
        <f>'Revenue'!D14</f>
        <v/>
      </c>
      <c r="E9" s="24">
        <f>'Revenue'!E14</f>
        <v/>
      </c>
      <c r="F9" s="24">
        <f>'Revenue'!F14</f>
        <v/>
      </c>
      <c r="G9" s="24">
        <f>'Revenue'!G14</f>
        <v/>
      </c>
      <c r="H9" s="24">
        <f>'Revenue'!H14</f>
        <v/>
      </c>
      <c r="I9" s="24">
        <f>'Revenue'!I14</f>
        <v/>
      </c>
      <c r="J9" s="24">
        <f>'Revenue'!J14</f>
        <v/>
      </c>
      <c r="K9" s="24">
        <f>'Revenue'!K14</f>
        <v/>
      </c>
      <c r="L9" s="24">
        <f>'Revenue'!L14</f>
        <v/>
      </c>
      <c r="M9" s="24">
        <f>'Revenue'!M14</f>
        <v/>
      </c>
      <c r="N9" s="24">
        <f>'Revenue'!N14</f>
        <v/>
      </c>
      <c r="O9" s="24">
        <f>'Revenue'!O14</f>
        <v/>
      </c>
      <c r="P9" s="24">
        <f>'Revenue'!P14</f>
        <v/>
      </c>
      <c r="Q9" s="24">
        <f>'Revenue'!Q14</f>
        <v/>
      </c>
      <c r="R9" s="24">
        <f>'Revenue'!R14</f>
        <v/>
      </c>
      <c r="S9" s="24">
        <f>'Revenue'!S14</f>
        <v/>
      </c>
      <c r="T9" s="24">
        <f>'Revenue'!T14</f>
        <v/>
      </c>
      <c r="U9" s="24">
        <f>'Revenue'!U14</f>
        <v/>
      </c>
      <c r="V9" s="24">
        <f>'Revenue'!V14</f>
        <v/>
      </c>
      <c r="W9" s="24">
        <f>'Revenue'!W14</f>
        <v/>
      </c>
      <c r="X9" s="24">
        <f>'Revenue'!X14</f>
        <v/>
      </c>
      <c r="Y9" s="24">
        <f>'Revenue'!Y14</f>
        <v/>
      </c>
      <c r="Z9" s="24">
        <f>'Revenue'!Z14</f>
        <v/>
      </c>
      <c r="AA9" s="24">
        <f>'Revenue'!AA14</f>
        <v/>
      </c>
      <c r="AB9" s="24">
        <f>'Revenue'!AB14</f>
        <v/>
      </c>
      <c r="AC9" s="24">
        <f>'Revenue'!AC14</f>
        <v/>
      </c>
      <c r="AD9" s="24">
        <f>'Revenue'!AD14</f>
        <v/>
      </c>
      <c r="AE9" s="24">
        <f>'Revenue'!AE14</f>
        <v/>
      </c>
      <c r="AF9" s="24">
        <f>'Revenue'!AF14</f>
        <v/>
      </c>
      <c r="AG9" s="24">
        <f>'Revenue'!AG14</f>
        <v/>
      </c>
      <c r="AH9" s="24">
        <f>'Revenue'!AH14</f>
        <v/>
      </c>
      <c r="AI9" s="24">
        <f>'Revenue'!AI14</f>
        <v/>
      </c>
      <c r="AJ9" s="24">
        <f>'Revenue'!AJ14</f>
        <v/>
      </c>
      <c r="AK9" s="24">
        <f>'Revenue'!AK14</f>
        <v/>
      </c>
      <c r="AL9" s="24">
        <f>'Revenue'!AL14</f>
        <v/>
      </c>
      <c r="AM9" s="24">
        <f>'Revenue'!AM14</f>
        <v/>
      </c>
      <c r="AN9" s="24">
        <f>'Revenue'!AN14</f>
        <v/>
      </c>
      <c r="AO9" s="24">
        <f>'Revenue'!AO14</f>
        <v/>
      </c>
      <c r="AP9" s="24">
        <f>'Revenue'!AP14</f>
        <v/>
      </c>
      <c r="AQ9" s="24">
        <f>'Revenue'!AQ14</f>
        <v/>
      </c>
      <c r="AR9" s="24">
        <f>'Revenue'!AR14</f>
        <v/>
      </c>
      <c r="AS9" s="24">
        <f>'Revenue'!AS14</f>
        <v/>
      </c>
      <c r="AT9" s="24">
        <f>'Revenue'!AT14</f>
        <v/>
      </c>
      <c r="AU9" s="24">
        <f>'Revenue'!AU14</f>
        <v/>
      </c>
      <c r="AV9" s="24">
        <f>'Revenue'!AV14</f>
        <v/>
      </c>
      <c r="AW9" s="24">
        <f>'Revenue'!AW14</f>
        <v/>
      </c>
      <c r="AX9" s="24">
        <f>'Revenue'!AX14</f>
        <v/>
      </c>
      <c r="AY9" s="24">
        <f>'Revenue'!AY14</f>
        <v/>
      </c>
      <c r="AZ9" s="24">
        <f>'Revenue'!AZ14</f>
        <v/>
      </c>
      <c r="BA9" s="24">
        <f>'Revenue'!BA14</f>
        <v/>
      </c>
      <c r="BB9" s="24">
        <f>'Revenue'!BB14</f>
        <v/>
      </c>
      <c r="BC9" s="24">
        <f>'Revenue'!BC14</f>
        <v/>
      </c>
      <c r="BD9" s="24">
        <f>'Revenue'!BD14</f>
        <v/>
      </c>
      <c r="BE9" s="24">
        <f>'Revenue'!BE14</f>
        <v/>
      </c>
      <c r="BF9" s="24">
        <f>'Revenue'!BF14</f>
        <v/>
      </c>
      <c r="BG9" s="24">
        <f>'Revenue'!BG14</f>
        <v/>
      </c>
      <c r="BH9" s="24">
        <f>'Revenue'!BH14</f>
        <v/>
      </c>
      <c r="BI9" s="24">
        <f>'Revenue'!BI14</f>
        <v/>
      </c>
      <c r="BJ9" s="24">
        <f>'Revenue'!BJ14</f>
        <v/>
      </c>
      <c r="BK9" s="24">
        <f>'Revenue'!BK14</f>
        <v/>
      </c>
    </row>
    <row r="10">
      <c r="A10" s="9" t="inlineStr">
        <is>
          <t>Residential care</t>
        </is>
      </c>
      <c r="B10" s="3" t="inlineStr"/>
      <c r="C10" s="2" t="n"/>
      <c r="D10" s="24">
        <f>'Revenue'!D20</f>
        <v/>
      </c>
      <c r="E10" s="24">
        <f>'Revenue'!E20</f>
        <v/>
      </c>
      <c r="F10" s="24">
        <f>'Revenue'!F20</f>
        <v/>
      </c>
      <c r="G10" s="24">
        <f>'Revenue'!G20</f>
        <v/>
      </c>
      <c r="H10" s="24">
        <f>'Revenue'!H20</f>
        <v/>
      </c>
      <c r="I10" s="24">
        <f>'Revenue'!I20</f>
        <v/>
      </c>
      <c r="J10" s="24">
        <f>'Revenue'!J20</f>
        <v/>
      </c>
      <c r="K10" s="24">
        <f>'Revenue'!K20</f>
        <v/>
      </c>
      <c r="L10" s="24">
        <f>'Revenue'!L20</f>
        <v/>
      </c>
      <c r="M10" s="24">
        <f>'Revenue'!M20</f>
        <v/>
      </c>
      <c r="N10" s="24">
        <f>'Revenue'!N20</f>
        <v/>
      </c>
      <c r="O10" s="24">
        <f>'Revenue'!O20</f>
        <v/>
      </c>
      <c r="P10" s="24">
        <f>'Revenue'!P20</f>
        <v/>
      </c>
      <c r="Q10" s="24">
        <f>'Revenue'!Q20</f>
        <v/>
      </c>
      <c r="R10" s="24">
        <f>'Revenue'!R20</f>
        <v/>
      </c>
      <c r="S10" s="24">
        <f>'Revenue'!S20</f>
        <v/>
      </c>
      <c r="T10" s="24">
        <f>'Revenue'!T20</f>
        <v/>
      </c>
      <c r="U10" s="24">
        <f>'Revenue'!U20</f>
        <v/>
      </c>
      <c r="V10" s="24">
        <f>'Revenue'!V20</f>
        <v/>
      </c>
      <c r="W10" s="24">
        <f>'Revenue'!W20</f>
        <v/>
      </c>
      <c r="X10" s="24">
        <f>'Revenue'!X20</f>
        <v/>
      </c>
      <c r="Y10" s="24">
        <f>'Revenue'!Y20</f>
        <v/>
      </c>
      <c r="Z10" s="24">
        <f>'Revenue'!Z20</f>
        <v/>
      </c>
      <c r="AA10" s="24">
        <f>'Revenue'!AA20</f>
        <v/>
      </c>
      <c r="AB10" s="24">
        <f>'Revenue'!AB20</f>
        <v/>
      </c>
      <c r="AC10" s="24">
        <f>'Revenue'!AC20</f>
        <v/>
      </c>
      <c r="AD10" s="24">
        <f>'Revenue'!AD20</f>
        <v/>
      </c>
      <c r="AE10" s="24">
        <f>'Revenue'!AE20</f>
        <v/>
      </c>
      <c r="AF10" s="24">
        <f>'Revenue'!AF20</f>
        <v/>
      </c>
      <c r="AG10" s="24">
        <f>'Revenue'!AG20</f>
        <v/>
      </c>
      <c r="AH10" s="24">
        <f>'Revenue'!AH20</f>
        <v/>
      </c>
      <c r="AI10" s="24">
        <f>'Revenue'!AI20</f>
        <v/>
      </c>
      <c r="AJ10" s="24">
        <f>'Revenue'!AJ20</f>
        <v/>
      </c>
      <c r="AK10" s="24">
        <f>'Revenue'!AK20</f>
        <v/>
      </c>
      <c r="AL10" s="24">
        <f>'Revenue'!AL20</f>
        <v/>
      </c>
      <c r="AM10" s="24">
        <f>'Revenue'!AM20</f>
        <v/>
      </c>
      <c r="AN10" s="24">
        <f>'Revenue'!AN20</f>
        <v/>
      </c>
      <c r="AO10" s="24">
        <f>'Revenue'!AO20</f>
        <v/>
      </c>
      <c r="AP10" s="24">
        <f>'Revenue'!AP20</f>
        <v/>
      </c>
      <c r="AQ10" s="24">
        <f>'Revenue'!AQ20</f>
        <v/>
      </c>
      <c r="AR10" s="24">
        <f>'Revenue'!AR20</f>
        <v/>
      </c>
      <c r="AS10" s="24">
        <f>'Revenue'!AS20</f>
        <v/>
      </c>
      <c r="AT10" s="24">
        <f>'Revenue'!AT20</f>
        <v/>
      </c>
      <c r="AU10" s="24">
        <f>'Revenue'!AU20</f>
        <v/>
      </c>
      <c r="AV10" s="24">
        <f>'Revenue'!AV20</f>
        <v/>
      </c>
      <c r="AW10" s="24">
        <f>'Revenue'!AW20</f>
        <v/>
      </c>
      <c r="AX10" s="24">
        <f>'Revenue'!AX20</f>
        <v/>
      </c>
      <c r="AY10" s="24">
        <f>'Revenue'!AY20</f>
        <v/>
      </c>
      <c r="AZ10" s="24">
        <f>'Revenue'!AZ20</f>
        <v/>
      </c>
      <c r="BA10" s="24">
        <f>'Revenue'!BA20</f>
        <v/>
      </c>
      <c r="BB10" s="24">
        <f>'Revenue'!BB20</f>
        <v/>
      </c>
      <c r="BC10" s="24">
        <f>'Revenue'!BC20</f>
        <v/>
      </c>
      <c r="BD10" s="24">
        <f>'Revenue'!BD20</f>
        <v/>
      </c>
      <c r="BE10" s="24">
        <f>'Revenue'!BE20</f>
        <v/>
      </c>
      <c r="BF10" s="24">
        <f>'Revenue'!BF20</f>
        <v/>
      </c>
      <c r="BG10" s="24">
        <f>'Revenue'!BG20</f>
        <v/>
      </c>
      <c r="BH10" s="24">
        <f>'Revenue'!BH20</f>
        <v/>
      </c>
      <c r="BI10" s="24">
        <f>'Revenue'!BI20</f>
        <v/>
      </c>
      <c r="BJ10" s="24">
        <f>'Revenue'!BJ20</f>
        <v/>
      </c>
      <c r="BK10" s="24">
        <f>'Revenue'!BK20</f>
        <v/>
      </c>
    </row>
    <row r="11">
      <c r="A11" s="9" t="inlineStr">
        <is>
          <t>Mortuary and pathology</t>
        </is>
      </c>
      <c r="B11" s="3" t="inlineStr"/>
      <c r="C11" s="2" t="n"/>
      <c r="D11" s="24">
        <f>'Revenue'!D26</f>
        <v/>
      </c>
      <c r="E11" s="24">
        <f>'Revenue'!E26</f>
        <v/>
      </c>
      <c r="F11" s="24">
        <f>'Revenue'!F26</f>
        <v/>
      </c>
      <c r="G11" s="24">
        <f>'Revenue'!G26</f>
        <v/>
      </c>
      <c r="H11" s="24">
        <f>'Revenue'!H26</f>
        <v/>
      </c>
      <c r="I11" s="24">
        <f>'Revenue'!I26</f>
        <v/>
      </c>
      <c r="J11" s="24">
        <f>'Revenue'!J26</f>
        <v/>
      </c>
      <c r="K11" s="24">
        <f>'Revenue'!K26</f>
        <v/>
      </c>
      <c r="L11" s="24">
        <f>'Revenue'!L26</f>
        <v/>
      </c>
      <c r="M11" s="24">
        <f>'Revenue'!M26</f>
        <v/>
      </c>
      <c r="N11" s="24">
        <f>'Revenue'!N26</f>
        <v/>
      </c>
      <c r="O11" s="24">
        <f>'Revenue'!O26</f>
        <v/>
      </c>
      <c r="P11" s="24">
        <f>'Revenue'!P26</f>
        <v/>
      </c>
      <c r="Q11" s="24">
        <f>'Revenue'!Q26</f>
        <v/>
      </c>
      <c r="R11" s="24">
        <f>'Revenue'!R26</f>
        <v/>
      </c>
      <c r="S11" s="24">
        <f>'Revenue'!S26</f>
        <v/>
      </c>
      <c r="T11" s="24">
        <f>'Revenue'!T26</f>
        <v/>
      </c>
      <c r="U11" s="24">
        <f>'Revenue'!U26</f>
        <v/>
      </c>
      <c r="V11" s="24">
        <f>'Revenue'!V26</f>
        <v/>
      </c>
      <c r="W11" s="24">
        <f>'Revenue'!W26</f>
        <v/>
      </c>
      <c r="X11" s="24">
        <f>'Revenue'!X26</f>
        <v/>
      </c>
      <c r="Y11" s="24">
        <f>'Revenue'!Y26</f>
        <v/>
      </c>
      <c r="Z11" s="24">
        <f>'Revenue'!Z26</f>
        <v/>
      </c>
      <c r="AA11" s="24">
        <f>'Revenue'!AA26</f>
        <v/>
      </c>
      <c r="AB11" s="24">
        <f>'Revenue'!AB26</f>
        <v/>
      </c>
      <c r="AC11" s="24">
        <f>'Revenue'!AC26</f>
        <v/>
      </c>
      <c r="AD11" s="24">
        <f>'Revenue'!AD26</f>
        <v/>
      </c>
      <c r="AE11" s="24">
        <f>'Revenue'!AE26</f>
        <v/>
      </c>
      <c r="AF11" s="24">
        <f>'Revenue'!AF26</f>
        <v/>
      </c>
      <c r="AG11" s="24">
        <f>'Revenue'!AG26</f>
        <v/>
      </c>
      <c r="AH11" s="24">
        <f>'Revenue'!AH26</f>
        <v/>
      </c>
      <c r="AI11" s="24">
        <f>'Revenue'!AI26</f>
        <v/>
      </c>
      <c r="AJ11" s="24">
        <f>'Revenue'!AJ26</f>
        <v/>
      </c>
      <c r="AK11" s="24">
        <f>'Revenue'!AK26</f>
        <v/>
      </c>
      <c r="AL11" s="24">
        <f>'Revenue'!AL26</f>
        <v/>
      </c>
      <c r="AM11" s="24">
        <f>'Revenue'!AM26</f>
        <v/>
      </c>
      <c r="AN11" s="24">
        <f>'Revenue'!AN26</f>
        <v/>
      </c>
      <c r="AO11" s="24">
        <f>'Revenue'!AO26</f>
        <v/>
      </c>
      <c r="AP11" s="24">
        <f>'Revenue'!AP26</f>
        <v/>
      </c>
      <c r="AQ11" s="24">
        <f>'Revenue'!AQ26</f>
        <v/>
      </c>
      <c r="AR11" s="24">
        <f>'Revenue'!AR26</f>
        <v/>
      </c>
      <c r="AS11" s="24">
        <f>'Revenue'!AS26</f>
        <v/>
      </c>
      <c r="AT11" s="24">
        <f>'Revenue'!AT26</f>
        <v/>
      </c>
      <c r="AU11" s="24">
        <f>'Revenue'!AU26</f>
        <v/>
      </c>
      <c r="AV11" s="24">
        <f>'Revenue'!AV26</f>
        <v/>
      </c>
      <c r="AW11" s="24">
        <f>'Revenue'!AW26</f>
        <v/>
      </c>
      <c r="AX11" s="24">
        <f>'Revenue'!AX26</f>
        <v/>
      </c>
      <c r="AY11" s="24">
        <f>'Revenue'!AY26</f>
        <v/>
      </c>
      <c r="AZ11" s="24">
        <f>'Revenue'!AZ26</f>
        <v/>
      </c>
      <c r="BA11" s="24">
        <f>'Revenue'!BA26</f>
        <v/>
      </c>
      <c r="BB11" s="24">
        <f>'Revenue'!BB26</f>
        <v/>
      </c>
      <c r="BC11" s="24">
        <f>'Revenue'!BC26</f>
        <v/>
      </c>
      <c r="BD11" s="24">
        <f>'Revenue'!BD26</f>
        <v/>
      </c>
      <c r="BE11" s="24">
        <f>'Revenue'!BE26</f>
        <v/>
      </c>
      <c r="BF11" s="24">
        <f>'Revenue'!BF26</f>
        <v/>
      </c>
      <c r="BG11" s="24">
        <f>'Revenue'!BG26</f>
        <v/>
      </c>
      <c r="BH11" s="24">
        <f>'Revenue'!BH26</f>
        <v/>
      </c>
      <c r="BI11" s="24">
        <f>'Revenue'!BI26</f>
        <v/>
      </c>
      <c r="BJ11" s="24">
        <f>'Revenue'!BJ26</f>
        <v/>
      </c>
      <c r="BK11" s="24">
        <f>'Revenue'!BK26</f>
        <v/>
      </c>
    </row>
    <row r="12">
      <c r="A12" s="9" t="inlineStr">
        <is>
          <t>Software</t>
        </is>
      </c>
      <c r="B12" s="3" t="inlineStr"/>
      <c r="C12" s="2" t="n"/>
      <c r="D12" s="24">
        <f>'Revenue'!D30</f>
        <v/>
      </c>
      <c r="E12" s="24">
        <f>'Revenue'!E30</f>
        <v/>
      </c>
      <c r="F12" s="24">
        <f>'Revenue'!F30</f>
        <v/>
      </c>
      <c r="G12" s="24">
        <f>'Revenue'!G30</f>
        <v/>
      </c>
      <c r="H12" s="24">
        <f>'Revenue'!H30</f>
        <v/>
      </c>
      <c r="I12" s="24">
        <f>'Revenue'!I30</f>
        <v/>
      </c>
      <c r="J12" s="24">
        <f>'Revenue'!J30</f>
        <v/>
      </c>
      <c r="K12" s="24">
        <f>'Revenue'!K30</f>
        <v/>
      </c>
      <c r="L12" s="24">
        <f>'Revenue'!L30</f>
        <v/>
      </c>
      <c r="M12" s="24">
        <f>'Revenue'!M30</f>
        <v/>
      </c>
      <c r="N12" s="24">
        <f>'Revenue'!N30</f>
        <v/>
      </c>
      <c r="O12" s="24">
        <f>'Revenue'!O30</f>
        <v/>
      </c>
      <c r="P12" s="24">
        <f>'Revenue'!P30</f>
        <v/>
      </c>
      <c r="Q12" s="24">
        <f>'Revenue'!Q30</f>
        <v/>
      </c>
      <c r="R12" s="24">
        <f>'Revenue'!R30</f>
        <v/>
      </c>
      <c r="S12" s="24">
        <f>'Revenue'!S30</f>
        <v/>
      </c>
      <c r="T12" s="24">
        <f>'Revenue'!T30</f>
        <v/>
      </c>
      <c r="U12" s="24">
        <f>'Revenue'!U30</f>
        <v/>
      </c>
      <c r="V12" s="24">
        <f>'Revenue'!V30</f>
        <v/>
      </c>
      <c r="W12" s="24">
        <f>'Revenue'!W30</f>
        <v/>
      </c>
      <c r="X12" s="24">
        <f>'Revenue'!X30</f>
        <v/>
      </c>
      <c r="Y12" s="24">
        <f>'Revenue'!Y30</f>
        <v/>
      </c>
      <c r="Z12" s="24">
        <f>'Revenue'!Z30</f>
        <v/>
      </c>
      <c r="AA12" s="24">
        <f>'Revenue'!AA30</f>
        <v/>
      </c>
      <c r="AB12" s="24">
        <f>'Revenue'!AB30</f>
        <v/>
      </c>
      <c r="AC12" s="24">
        <f>'Revenue'!AC30</f>
        <v/>
      </c>
      <c r="AD12" s="24">
        <f>'Revenue'!AD30</f>
        <v/>
      </c>
      <c r="AE12" s="24">
        <f>'Revenue'!AE30</f>
        <v/>
      </c>
      <c r="AF12" s="24">
        <f>'Revenue'!AF30</f>
        <v/>
      </c>
      <c r="AG12" s="24">
        <f>'Revenue'!AG30</f>
        <v/>
      </c>
      <c r="AH12" s="24">
        <f>'Revenue'!AH30</f>
        <v/>
      </c>
      <c r="AI12" s="24">
        <f>'Revenue'!AI30</f>
        <v/>
      </c>
      <c r="AJ12" s="24">
        <f>'Revenue'!AJ30</f>
        <v/>
      </c>
      <c r="AK12" s="24">
        <f>'Revenue'!AK30</f>
        <v/>
      </c>
      <c r="AL12" s="24">
        <f>'Revenue'!AL30</f>
        <v/>
      </c>
      <c r="AM12" s="24">
        <f>'Revenue'!AM30</f>
        <v/>
      </c>
      <c r="AN12" s="24">
        <f>'Revenue'!AN30</f>
        <v/>
      </c>
      <c r="AO12" s="24">
        <f>'Revenue'!AO30</f>
        <v/>
      </c>
      <c r="AP12" s="24">
        <f>'Revenue'!AP30</f>
        <v/>
      </c>
      <c r="AQ12" s="24">
        <f>'Revenue'!AQ30</f>
        <v/>
      </c>
      <c r="AR12" s="24">
        <f>'Revenue'!AR30</f>
        <v/>
      </c>
      <c r="AS12" s="24">
        <f>'Revenue'!AS30</f>
        <v/>
      </c>
      <c r="AT12" s="24">
        <f>'Revenue'!AT30</f>
        <v/>
      </c>
      <c r="AU12" s="24">
        <f>'Revenue'!AU30</f>
        <v/>
      </c>
      <c r="AV12" s="24">
        <f>'Revenue'!AV30</f>
        <v/>
      </c>
      <c r="AW12" s="24">
        <f>'Revenue'!AW30</f>
        <v/>
      </c>
      <c r="AX12" s="24">
        <f>'Revenue'!AX30</f>
        <v/>
      </c>
      <c r="AY12" s="24">
        <f>'Revenue'!AY30</f>
        <v/>
      </c>
      <c r="AZ12" s="24">
        <f>'Revenue'!AZ30</f>
        <v/>
      </c>
      <c r="BA12" s="24">
        <f>'Revenue'!BA30</f>
        <v/>
      </c>
      <c r="BB12" s="24">
        <f>'Revenue'!BB30</f>
        <v/>
      </c>
      <c r="BC12" s="24">
        <f>'Revenue'!BC30</f>
        <v/>
      </c>
      <c r="BD12" s="24">
        <f>'Revenue'!BD30</f>
        <v/>
      </c>
      <c r="BE12" s="24">
        <f>'Revenue'!BE30</f>
        <v/>
      </c>
      <c r="BF12" s="24">
        <f>'Revenue'!BF30</f>
        <v/>
      </c>
      <c r="BG12" s="24">
        <f>'Revenue'!BG30</f>
        <v/>
      </c>
      <c r="BH12" s="24">
        <f>'Revenue'!BH30</f>
        <v/>
      </c>
      <c r="BI12" s="24">
        <f>'Revenue'!BI30</f>
        <v/>
      </c>
      <c r="BJ12" s="24">
        <f>'Revenue'!BJ30</f>
        <v/>
      </c>
      <c r="BK12" s="24">
        <f>'Revenue'!BK30</f>
        <v/>
      </c>
    </row>
    <row r="13">
      <c r="A13" s="30" t="inlineStr">
        <is>
          <t>Revenue</t>
        </is>
      </c>
      <c r="B13" s="3" t="inlineStr"/>
      <c r="C13" s="2" t="n"/>
      <c r="D13" s="33">
        <f>SUM(D9:D12)</f>
        <v/>
      </c>
      <c r="E13" s="33">
        <f>SUM(E9:E12)</f>
        <v/>
      </c>
      <c r="F13" s="33">
        <f>SUM(F9:F12)</f>
        <v/>
      </c>
      <c r="G13" s="33">
        <f>SUM(G9:G12)</f>
        <v/>
      </c>
      <c r="H13" s="33">
        <f>SUM(H9:H12)</f>
        <v/>
      </c>
      <c r="I13" s="33">
        <f>SUM(I9:I12)</f>
        <v/>
      </c>
      <c r="J13" s="33">
        <f>SUM(J9:J12)</f>
        <v/>
      </c>
      <c r="K13" s="33">
        <f>SUM(K9:K12)</f>
        <v/>
      </c>
      <c r="L13" s="33">
        <f>SUM(L9:L12)</f>
        <v/>
      </c>
      <c r="M13" s="33">
        <f>SUM(M9:M12)</f>
        <v/>
      </c>
      <c r="N13" s="33">
        <f>SUM(N9:N12)</f>
        <v/>
      </c>
      <c r="O13" s="33">
        <f>SUM(O9:O12)</f>
        <v/>
      </c>
      <c r="P13" s="33">
        <f>SUM(P9:P12)</f>
        <v/>
      </c>
      <c r="Q13" s="33">
        <f>SUM(Q9:Q12)</f>
        <v/>
      </c>
      <c r="R13" s="33">
        <f>SUM(R9:R12)</f>
        <v/>
      </c>
      <c r="S13" s="33">
        <f>SUM(S9:S12)</f>
        <v/>
      </c>
      <c r="T13" s="33">
        <f>SUM(T9:T12)</f>
        <v/>
      </c>
      <c r="U13" s="33">
        <f>SUM(U9:U12)</f>
        <v/>
      </c>
      <c r="V13" s="33">
        <f>SUM(V9:V12)</f>
        <v/>
      </c>
      <c r="W13" s="33">
        <f>SUM(W9:W12)</f>
        <v/>
      </c>
      <c r="X13" s="33">
        <f>SUM(X9:X12)</f>
        <v/>
      </c>
      <c r="Y13" s="33">
        <f>SUM(Y9:Y12)</f>
        <v/>
      </c>
      <c r="Z13" s="33">
        <f>SUM(Z9:Z12)</f>
        <v/>
      </c>
      <c r="AA13" s="33">
        <f>SUM(AA9:AA12)</f>
        <v/>
      </c>
      <c r="AB13" s="33">
        <f>SUM(AB9:AB12)</f>
        <v/>
      </c>
      <c r="AC13" s="33">
        <f>SUM(AC9:AC12)</f>
        <v/>
      </c>
      <c r="AD13" s="33">
        <f>SUM(AD9:AD12)</f>
        <v/>
      </c>
      <c r="AE13" s="33">
        <f>SUM(AE9:AE12)</f>
        <v/>
      </c>
      <c r="AF13" s="33">
        <f>SUM(AF9:AF12)</f>
        <v/>
      </c>
      <c r="AG13" s="33">
        <f>SUM(AG9:AG12)</f>
        <v/>
      </c>
      <c r="AH13" s="33">
        <f>SUM(AH9:AH12)</f>
        <v/>
      </c>
      <c r="AI13" s="33">
        <f>SUM(AI9:AI12)</f>
        <v/>
      </c>
      <c r="AJ13" s="33">
        <f>SUM(AJ9:AJ12)</f>
        <v/>
      </c>
      <c r="AK13" s="33">
        <f>SUM(AK9:AK12)</f>
        <v/>
      </c>
      <c r="AL13" s="33">
        <f>SUM(AL9:AL12)</f>
        <v/>
      </c>
      <c r="AM13" s="33">
        <f>SUM(AM9:AM12)</f>
        <v/>
      </c>
      <c r="AN13" s="33">
        <f>SUM(AN9:AN12)</f>
        <v/>
      </c>
      <c r="AO13" s="33">
        <f>SUM(AO9:AO12)</f>
        <v/>
      </c>
      <c r="AP13" s="33">
        <f>SUM(AP9:AP12)</f>
        <v/>
      </c>
      <c r="AQ13" s="33">
        <f>SUM(AQ9:AQ12)</f>
        <v/>
      </c>
      <c r="AR13" s="33">
        <f>SUM(AR9:AR12)</f>
        <v/>
      </c>
      <c r="AS13" s="33">
        <f>SUM(AS9:AS12)</f>
        <v/>
      </c>
      <c r="AT13" s="33">
        <f>SUM(AT9:AT12)</f>
        <v/>
      </c>
      <c r="AU13" s="33">
        <f>SUM(AU9:AU12)</f>
        <v/>
      </c>
      <c r="AV13" s="33">
        <f>SUM(AV9:AV12)</f>
        <v/>
      </c>
      <c r="AW13" s="33">
        <f>SUM(AW9:AW12)</f>
        <v/>
      </c>
      <c r="AX13" s="33">
        <f>SUM(AX9:AX12)</f>
        <v/>
      </c>
      <c r="AY13" s="33">
        <f>SUM(AY9:AY12)</f>
        <v/>
      </c>
      <c r="AZ13" s="33">
        <f>SUM(AZ9:AZ12)</f>
        <v/>
      </c>
      <c r="BA13" s="33">
        <f>SUM(BA9:BA12)</f>
        <v/>
      </c>
      <c r="BB13" s="33">
        <f>SUM(BB9:BB12)</f>
        <v/>
      </c>
      <c r="BC13" s="33">
        <f>SUM(BC9:BC12)</f>
        <v/>
      </c>
      <c r="BD13" s="33">
        <f>SUM(BD9:BD12)</f>
        <v/>
      </c>
      <c r="BE13" s="33">
        <f>SUM(BE9:BE12)</f>
        <v/>
      </c>
      <c r="BF13" s="33">
        <f>SUM(BF9:BF12)</f>
        <v/>
      </c>
      <c r="BG13" s="33">
        <f>SUM(BG9:BG12)</f>
        <v/>
      </c>
      <c r="BH13" s="33">
        <f>SUM(BH9:BH12)</f>
        <v/>
      </c>
      <c r="BI13" s="33">
        <f>SUM(BI9:BI12)</f>
        <v/>
      </c>
      <c r="BJ13" s="33">
        <f>SUM(BJ9:BJ12)</f>
        <v/>
      </c>
      <c r="BK13" s="33">
        <f>SUM(BK9:BK12)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</row>
    <row r="15">
      <c r="A15" s="12" t="inlineStr">
        <is>
          <t>Costs</t>
        </is>
      </c>
      <c r="B15" s="13" t="n"/>
      <c r="C15" s="1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</row>
    <row r="16">
      <c r="A16" s="14" t="inlineStr">
        <is>
          <t>Direct costs</t>
        </is>
      </c>
      <c r="B16" s="3" t="inlineStr"/>
      <c r="C16" s="2" t="n"/>
      <c r="D16" s="24">
        <f>'Costs'!D18</f>
        <v/>
      </c>
      <c r="E16" s="24">
        <f>'Costs'!E18</f>
        <v/>
      </c>
      <c r="F16" s="24">
        <f>'Costs'!F18</f>
        <v/>
      </c>
      <c r="G16" s="24">
        <f>'Costs'!G18</f>
        <v/>
      </c>
      <c r="H16" s="24">
        <f>'Costs'!H18</f>
        <v/>
      </c>
      <c r="I16" s="24">
        <f>'Costs'!I18</f>
        <v/>
      </c>
      <c r="J16" s="24">
        <f>'Costs'!J18</f>
        <v/>
      </c>
      <c r="K16" s="24">
        <f>'Costs'!K18</f>
        <v/>
      </c>
      <c r="L16" s="24">
        <f>'Costs'!L18</f>
        <v/>
      </c>
      <c r="M16" s="24">
        <f>'Costs'!M18</f>
        <v/>
      </c>
      <c r="N16" s="24">
        <f>'Costs'!N18</f>
        <v/>
      </c>
      <c r="O16" s="24">
        <f>'Costs'!O18</f>
        <v/>
      </c>
      <c r="P16" s="24">
        <f>'Costs'!P18</f>
        <v/>
      </c>
      <c r="Q16" s="24">
        <f>'Costs'!Q18</f>
        <v/>
      </c>
      <c r="R16" s="24">
        <f>'Costs'!R18</f>
        <v/>
      </c>
      <c r="S16" s="24">
        <f>'Costs'!S18</f>
        <v/>
      </c>
      <c r="T16" s="24">
        <f>'Costs'!T18</f>
        <v/>
      </c>
      <c r="U16" s="24">
        <f>'Costs'!U18</f>
        <v/>
      </c>
      <c r="V16" s="24">
        <f>'Costs'!V18</f>
        <v/>
      </c>
      <c r="W16" s="24">
        <f>'Costs'!W18</f>
        <v/>
      </c>
      <c r="X16" s="24">
        <f>'Costs'!X18</f>
        <v/>
      </c>
      <c r="Y16" s="24">
        <f>'Costs'!Y18</f>
        <v/>
      </c>
      <c r="Z16" s="24">
        <f>'Costs'!Z18</f>
        <v/>
      </c>
      <c r="AA16" s="24">
        <f>'Costs'!AA18</f>
        <v/>
      </c>
      <c r="AB16" s="24">
        <f>'Costs'!AB18</f>
        <v/>
      </c>
      <c r="AC16" s="24">
        <f>'Costs'!AC18</f>
        <v/>
      </c>
      <c r="AD16" s="24">
        <f>'Costs'!AD18</f>
        <v/>
      </c>
      <c r="AE16" s="24">
        <f>'Costs'!AE18</f>
        <v/>
      </c>
      <c r="AF16" s="24">
        <f>'Costs'!AF18</f>
        <v/>
      </c>
      <c r="AG16" s="24">
        <f>'Costs'!AG18</f>
        <v/>
      </c>
      <c r="AH16" s="24">
        <f>'Costs'!AH18</f>
        <v/>
      </c>
      <c r="AI16" s="24">
        <f>'Costs'!AI18</f>
        <v/>
      </c>
      <c r="AJ16" s="24">
        <f>'Costs'!AJ18</f>
        <v/>
      </c>
      <c r="AK16" s="24">
        <f>'Costs'!AK18</f>
        <v/>
      </c>
      <c r="AL16" s="24">
        <f>'Costs'!AL18</f>
        <v/>
      </c>
      <c r="AM16" s="24">
        <f>'Costs'!AM18</f>
        <v/>
      </c>
      <c r="AN16" s="24">
        <f>'Costs'!AN18</f>
        <v/>
      </c>
      <c r="AO16" s="24">
        <f>'Costs'!AO18</f>
        <v/>
      </c>
      <c r="AP16" s="24">
        <f>'Costs'!AP18</f>
        <v/>
      </c>
      <c r="AQ16" s="24">
        <f>'Costs'!AQ18</f>
        <v/>
      </c>
      <c r="AR16" s="24">
        <f>'Costs'!AR18</f>
        <v/>
      </c>
      <c r="AS16" s="24">
        <f>'Costs'!AS18</f>
        <v/>
      </c>
      <c r="AT16" s="24">
        <f>'Costs'!AT18</f>
        <v/>
      </c>
      <c r="AU16" s="24">
        <f>'Costs'!AU18</f>
        <v/>
      </c>
      <c r="AV16" s="24">
        <f>'Costs'!AV18</f>
        <v/>
      </c>
      <c r="AW16" s="24">
        <f>'Costs'!AW18</f>
        <v/>
      </c>
      <c r="AX16" s="24">
        <f>'Costs'!AX18</f>
        <v/>
      </c>
      <c r="AY16" s="24">
        <f>'Costs'!AY18</f>
        <v/>
      </c>
      <c r="AZ16" s="24">
        <f>'Costs'!AZ18</f>
        <v/>
      </c>
      <c r="BA16" s="24">
        <f>'Costs'!BA18</f>
        <v/>
      </c>
      <c r="BB16" s="24">
        <f>'Costs'!BB18</f>
        <v/>
      </c>
      <c r="BC16" s="24">
        <f>'Costs'!BC18</f>
        <v/>
      </c>
      <c r="BD16" s="24">
        <f>'Costs'!BD18</f>
        <v/>
      </c>
      <c r="BE16" s="24">
        <f>'Costs'!BE18</f>
        <v/>
      </c>
      <c r="BF16" s="24">
        <f>'Costs'!BF18</f>
        <v/>
      </c>
      <c r="BG16" s="24">
        <f>'Costs'!BG18</f>
        <v/>
      </c>
      <c r="BH16" s="24">
        <f>'Costs'!BH18</f>
        <v/>
      </c>
      <c r="BI16" s="24">
        <f>'Costs'!BI18</f>
        <v/>
      </c>
      <c r="BJ16" s="24">
        <f>'Costs'!BJ18</f>
        <v/>
      </c>
      <c r="BK16" s="24">
        <f>'Costs'!BK18</f>
        <v/>
      </c>
    </row>
    <row r="17">
      <c r="A17" s="14" t="inlineStr">
        <is>
          <t>Site operating costs</t>
        </is>
      </c>
      <c r="B17" s="3" t="inlineStr"/>
      <c r="C17" s="2" t="n"/>
      <c r="D17" s="24">
        <f>'Costs'!D32</f>
        <v/>
      </c>
      <c r="E17" s="24">
        <f>'Costs'!E32</f>
        <v/>
      </c>
      <c r="F17" s="24">
        <f>'Costs'!F32</f>
        <v/>
      </c>
      <c r="G17" s="24">
        <f>'Costs'!G32</f>
        <v/>
      </c>
      <c r="H17" s="24">
        <f>'Costs'!H32</f>
        <v/>
      </c>
      <c r="I17" s="24">
        <f>'Costs'!I32</f>
        <v/>
      </c>
      <c r="J17" s="24">
        <f>'Costs'!J32</f>
        <v/>
      </c>
      <c r="K17" s="24">
        <f>'Costs'!K32</f>
        <v/>
      </c>
      <c r="L17" s="24">
        <f>'Costs'!L32</f>
        <v/>
      </c>
      <c r="M17" s="24">
        <f>'Costs'!M32</f>
        <v/>
      </c>
      <c r="N17" s="24">
        <f>'Costs'!N32</f>
        <v/>
      </c>
      <c r="O17" s="24">
        <f>'Costs'!O32</f>
        <v/>
      </c>
      <c r="P17" s="24">
        <f>'Costs'!P32</f>
        <v/>
      </c>
      <c r="Q17" s="24">
        <f>'Costs'!Q32</f>
        <v/>
      </c>
      <c r="R17" s="24">
        <f>'Costs'!R32</f>
        <v/>
      </c>
      <c r="S17" s="24">
        <f>'Costs'!S32</f>
        <v/>
      </c>
      <c r="T17" s="24">
        <f>'Costs'!T32</f>
        <v/>
      </c>
      <c r="U17" s="24">
        <f>'Costs'!U32</f>
        <v/>
      </c>
      <c r="V17" s="24">
        <f>'Costs'!V32</f>
        <v/>
      </c>
      <c r="W17" s="24">
        <f>'Costs'!W32</f>
        <v/>
      </c>
      <c r="X17" s="24">
        <f>'Costs'!X32</f>
        <v/>
      </c>
      <c r="Y17" s="24">
        <f>'Costs'!Y32</f>
        <v/>
      </c>
      <c r="Z17" s="24">
        <f>'Costs'!Z32</f>
        <v/>
      </c>
      <c r="AA17" s="24">
        <f>'Costs'!AA32</f>
        <v/>
      </c>
      <c r="AB17" s="24">
        <f>'Costs'!AB32</f>
        <v/>
      </c>
      <c r="AC17" s="24">
        <f>'Costs'!AC32</f>
        <v/>
      </c>
      <c r="AD17" s="24">
        <f>'Costs'!AD32</f>
        <v/>
      </c>
      <c r="AE17" s="24">
        <f>'Costs'!AE32</f>
        <v/>
      </c>
      <c r="AF17" s="24">
        <f>'Costs'!AF32</f>
        <v/>
      </c>
      <c r="AG17" s="24">
        <f>'Costs'!AG32</f>
        <v/>
      </c>
      <c r="AH17" s="24">
        <f>'Costs'!AH32</f>
        <v/>
      </c>
      <c r="AI17" s="24">
        <f>'Costs'!AI32</f>
        <v/>
      </c>
      <c r="AJ17" s="24">
        <f>'Costs'!AJ32</f>
        <v/>
      </c>
      <c r="AK17" s="24">
        <f>'Costs'!AK32</f>
        <v/>
      </c>
      <c r="AL17" s="24">
        <f>'Costs'!AL32</f>
        <v/>
      </c>
      <c r="AM17" s="24">
        <f>'Costs'!AM32</f>
        <v/>
      </c>
      <c r="AN17" s="24">
        <f>'Costs'!AN32</f>
        <v/>
      </c>
      <c r="AO17" s="24">
        <f>'Costs'!AO32</f>
        <v/>
      </c>
      <c r="AP17" s="24">
        <f>'Costs'!AP32</f>
        <v/>
      </c>
      <c r="AQ17" s="24">
        <f>'Costs'!AQ32</f>
        <v/>
      </c>
      <c r="AR17" s="24">
        <f>'Costs'!AR32</f>
        <v/>
      </c>
      <c r="AS17" s="24">
        <f>'Costs'!AS32</f>
        <v/>
      </c>
      <c r="AT17" s="24">
        <f>'Costs'!AT32</f>
        <v/>
      </c>
      <c r="AU17" s="24">
        <f>'Costs'!AU32</f>
        <v/>
      </c>
      <c r="AV17" s="24">
        <f>'Costs'!AV32</f>
        <v/>
      </c>
      <c r="AW17" s="24">
        <f>'Costs'!AW32</f>
        <v/>
      </c>
      <c r="AX17" s="24">
        <f>'Costs'!AX32</f>
        <v/>
      </c>
      <c r="AY17" s="24">
        <f>'Costs'!AY32</f>
        <v/>
      </c>
      <c r="AZ17" s="24">
        <f>'Costs'!AZ32</f>
        <v/>
      </c>
      <c r="BA17" s="24">
        <f>'Costs'!BA32</f>
        <v/>
      </c>
      <c r="BB17" s="24">
        <f>'Costs'!BB32</f>
        <v/>
      </c>
      <c r="BC17" s="24">
        <f>'Costs'!BC32</f>
        <v/>
      </c>
      <c r="BD17" s="24">
        <f>'Costs'!BD32</f>
        <v/>
      </c>
      <c r="BE17" s="24">
        <f>'Costs'!BE32</f>
        <v/>
      </c>
      <c r="BF17" s="24">
        <f>'Costs'!BF32</f>
        <v/>
      </c>
      <c r="BG17" s="24">
        <f>'Costs'!BG32</f>
        <v/>
      </c>
      <c r="BH17" s="24">
        <f>'Costs'!BH32</f>
        <v/>
      </c>
      <c r="BI17" s="24">
        <f>'Costs'!BI32</f>
        <v/>
      </c>
      <c r="BJ17" s="24">
        <f>'Costs'!BJ32</f>
        <v/>
      </c>
      <c r="BK17" s="24">
        <f>'Costs'!BK32</f>
        <v/>
      </c>
    </row>
    <row r="18">
      <c r="A18" s="14" t="inlineStr">
        <is>
          <t>Leases</t>
        </is>
      </c>
      <c r="B18" s="3" t="inlineStr"/>
      <c r="C18" s="2" t="n"/>
      <c r="D18" s="24">
        <f>'Costs'!D38</f>
        <v/>
      </c>
      <c r="E18" s="24">
        <f>'Costs'!E38</f>
        <v/>
      </c>
      <c r="F18" s="24">
        <f>'Costs'!F38</f>
        <v/>
      </c>
      <c r="G18" s="24">
        <f>'Costs'!G38</f>
        <v/>
      </c>
      <c r="H18" s="24">
        <f>'Costs'!H38</f>
        <v/>
      </c>
      <c r="I18" s="24">
        <f>'Costs'!I38</f>
        <v/>
      </c>
      <c r="J18" s="24">
        <f>'Costs'!J38</f>
        <v/>
      </c>
      <c r="K18" s="24">
        <f>'Costs'!K38</f>
        <v/>
      </c>
      <c r="L18" s="24">
        <f>'Costs'!L38</f>
        <v/>
      </c>
      <c r="M18" s="24">
        <f>'Costs'!M38</f>
        <v/>
      </c>
      <c r="N18" s="24">
        <f>'Costs'!N38</f>
        <v/>
      </c>
      <c r="O18" s="24">
        <f>'Costs'!O38</f>
        <v/>
      </c>
      <c r="P18" s="24">
        <f>'Costs'!P38</f>
        <v/>
      </c>
      <c r="Q18" s="24">
        <f>'Costs'!Q38</f>
        <v/>
      </c>
      <c r="R18" s="24">
        <f>'Costs'!R38</f>
        <v/>
      </c>
      <c r="S18" s="24">
        <f>'Costs'!S38</f>
        <v/>
      </c>
      <c r="T18" s="24">
        <f>'Costs'!T38</f>
        <v/>
      </c>
      <c r="U18" s="24">
        <f>'Costs'!U38</f>
        <v/>
      </c>
      <c r="V18" s="24">
        <f>'Costs'!V38</f>
        <v/>
      </c>
      <c r="W18" s="24">
        <f>'Costs'!W38</f>
        <v/>
      </c>
      <c r="X18" s="24">
        <f>'Costs'!X38</f>
        <v/>
      </c>
      <c r="Y18" s="24">
        <f>'Costs'!Y38</f>
        <v/>
      </c>
      <c r="Z18" s="24">
        <f>'Costs'!Z38</f>
        <v/>
      </c>
      <c r="AA18" s="24">
        <f>'Costs'!AA38</f>
        <v/>
      </c>
      <c r="AB18" s="24">
        <f>'Costs'!AB38</f>
        <v/>
      </c>
      <c r="AC18" s="24">
        <f>'Costs'!AC38</f>
        <v/>
      </c>
      <c r="AD18" s="24">
        <f>'Costs'!AD38</f>
        <v/>
      </c>
      <c r="AE18" s="24">
        <f>'Costs'!AE38</f>
        <v/>
      </c>
      <c r="AF18" s="24">
        <f>'Costs'!AF38</f>
        <v/>
      </c>
      <c r="AG18" s="24">
        <f>'Costs'!AG38</f>
        <v/>
      </c>
      <c r="AH18" s="24">
        <f>'Costs'!AH38</f>
        <v/>
      </c>
      <c r="AI18" s="24">
        <f>'Costs'!AI38</f>
        <v/>
      </c>
      <c r="AJ18" s="24">
        <f>'Costs'!AJ38</f>
        <v/>
      </c>
      <c r="AK18" s="24">
        <f>'Costs'!AK38</f>
        <v/>
      </c>
      <c r="AL18" s="24">
        <f>'Costs'!AL38</f>
        <v/>
      </c>
      <c r="AM18" s="24">
        <f>'Costs'!AM38</f>
        <v/>
      </c>
      <c r="AN18" s="24">
        <f>'Costs'!AN38</f>
        <v/>
      </c>
      <c r="AO18" s="24">
        <f>'Costs'!AO38</f>
        <v/>
      </c>
      <c r="AP18" s="24">
        <f>'Costs'!AP38</f>
        <v/>
      </c>
      <c r="AQ18" s="24">
        <f>'Costs'!AQ38</f>
        <v/>
      </c>
      <c r="AR18" s="24">
        <f>'Costs'!AR38</f>
        <v/>
      </c>
      <c r="AS18" s="24">
        <f>'Costs'!AS38</f>
        <v/>
      </c>
      <c r="AT18" s="24">
        <f>'Costs'!AT38</f>
        <v/>
      </c>
      <c r="AU18" s="24">
        <f>'Costs'!AU38</f>
        <v/>
      </c>
      <c r="AV18" s="24">
        <f>'Costs'!AV38</f>
        <v/>
      </c>
      <c r="AW18" s="24">
        <f>'Costs'!AW38</f>
        <v/>
      </c>
      <c r="AX18" s="24">
        <f>'Costs'!AX38</f>
        <v/>
      </c>
      <c r="AY18" s="24">
        <f>'Costs'!AY38</f>
        <v/>
      </c>
      <c r="AZ18" s="24">
        <f>'Costs'!AZ38</f>
        <v/>
      </c>
      <c r="BA18" s="24">
        <f>'Costs'!BA38</f>
        <v/>
      </c>
      <c r="BB18" s="24">
        <f>'Costs'!BB38</f>
        <v/>
      </c>
      <c r="BC18" s="24">
        <f>'Costs'!BC38</f>
        <v/>
      </c>
      <c r="BD18" s="24">
        <f>'Costs'!BD38</f>
        <v/>
      </c>
      <c r="BE18" s="24">
        <f>'Costs'!BE38</f>
        <v/>
      </c>
      <c r="BF18" s="24">
        <f>'Costs'!BF38</f>
        <v/>
      </c>
      <c r="BG18" s="24">
        <f>'Costs'!BG38</f>
        <v/>
      </c>
      <c r="BH18" s="24">
        <f>'Costs'!BH38</f>
        <v/>
      </c>
      <c r="BI18" s="24">
        <f>'Costs'!BI38</f>
        <v/>
      </c>
      <c r="BJ18" s="24">
        <f>'Costs'!BJ38</f>
        <v/>
      </c>
      <c r="BK18" s="24">
        <f>'Costs'!BK38</f>
        <v/>
      </c>
    </row>
    <row r="19">
      <c r="A19" s="14" t="inlineStr">
        <is>
          <t>Central overhead</t>
        </is>
      </c>
      <c r="B19" s="3" t="inlineStr"/>
      <c r="C19" s="2" t="n"/>
      <c r="D19" s="24">
        <f>'Costs'!D43</f>
        <v/>
      </c>
      <c r="E19" s="24">
        <f>'Costs'!E43</f>
        <v/>
      </c>
      <c r="F19" s="24">
        <f>'Costs'!F43</f>
        <v/>
      </c>
      <c r="G19" s="24">
        <f>'Costs'!G43</f>
        <v/>
      </c>
      <c r="H19" s="24">
        <f>'Costs'!H43</f>
        <v/>
      </c>
      <c r="I19" s="24">
        <f>'Costs'!I43</f>
        <v/>
      </c>
      <c r="J19" s="24">
        <f>'Costs'!J43</f>
        <v/>
      </c>
      <c r="K19" s="24">
        <f>'Costs'!K43</f>
        <v/>
      </c>
      <c r="L19" s="24">
        <f>'Costs'!L43</f>
        <v/>
      </c>
      <c r="M19" s="24">
        <f>'Costs'!M43</f>
        <v/>
      </c>
      <c r="N19" s="24">
        <f>'Costs'!N43</f>
        <v/>
      </c>
      <c r="O19" s="24">
        <f>'Costs'!O43</f>
        <v/>
      </c>
      <c r="P19" s="24">
        <f>'Costs'!P43</f>
        <v/>
      </c>
      <c r="Q19" s="24">
        <f>'Costs'!Q43</f>
        <v/>
      </c>
      <c r="R19" s="24">
        <f>'Costs'!R43</f>
        <v/>
      </c>
      <c r="S19" s="24">
        <f>'Costs'!S43</f>
        <v/>
      </c>
      <c r="T19" s="24">
        <f>'Costs'!T43</f>
        <v/>
      </c>
      <c r="U19" s="24">
        <f>'Costs'!U43</f>
        <v/>
      </c>
      <c r="V19" s="24">
        <f>'Costs'!V43</f>
        <v/>
      </c>
      <c r="W19" s="24">
        <f>'Costs'!W43</f>
        <v/>
      </c>
      <c r="X19" s="24">
        <f>'Costs'!X43</f>
        <v/>
      </c>
      <c r="Y19" s="24">
        <f>'Costs'!Y43</f>
        <v/>
      </c>
      <c r="Z19" s="24">
        <f>'Costs'!Z43</f>
        <v/>
      </c>
      <c r="AA19" s="24">
        <f>'Costs'!AA43</f>
        <v/>
      </c>
      <c r="AB19" s="24">
        <f>'Costs'!AB43</f>
        <v/>
      </c>
      <c r="AC19" s="24">
        <f>'Costs'!AC43</f>
        <v/>
      </c>
      <c r="AD19" s="24">
        <f>'Costs'!AD43</f>
        <v/>
      </c>
      <c r="AE19" s="24">
        <f>'Costs'!AE43</f>
        <v/>
      </c>
      <c r="AF19" s="24">
        <f>'Costs'!AF43</f>
        <v/>
      </c>
      <c r="AG19" s="24">
        <f>'Costs'!AG43</f>
        <v/>
      </c>
      <c r="AH19" s="24">
        <f>'Costs'!AH43</f>
        <v/>
      </c>
      <c r="AI19" s="24">
        <f>'Costs'!AI43</f>
        <v/>
      </c>
      <c r="AJ19" s="24">
        <f>'Costs'!AJ43</f>
        <v/>
      </c>
      <c r="AK19" s="24">
        <f>'Costs'!AK43</f>
        <v/>
      </c>
      <c r="AL19" s="24">
        <f>'Costs'!AL43</f>
        <v/>
      </c>
      <c r="AM19" s="24">
        <f>'Costs'!AM43</f>
        <v/>
      </c>
      <c r="AN19" s="24">
        <f>'Costs'!AN43</f>
        <v/>
      </c>
      <c r="AO19" s="24">
        <f>'Costs'!AO43</f>
        <v/>
      </c>
      <c r="AP19" s="24">
        <f>'Costs'!AP43</f>
        <v/>
      </c>
      <c r="AQ19" s="24">
        <f>'Costs'!AQ43</f>
        <v/>
      </c>
      <c r="AR19" s="24">
        <f>'Costs'!AR43</f>
        <v/>
      </c>
      <c r="AS19" s="24">
        <f>'Costs'!AS43</f>
        <v/>
      </c>
      <c r="AT19" s="24">
        <f>'Costs'!AT43</f>
        <v/>
      </c>
      <c r="AU19" s="24">
        <f>'Costs'!AU43</f>
        <v/>
      </c>
      <c r="AV19" s="24">
        <f>'Costs'!AV43</f>
        <v/>
      </c>
      <c r="AW19" s="24">
        <f>'Costs'!AW43</f>
        <v/>
      </c>
      <c r="AX19" s="24">
        <f>'Costs'!AX43</f>
        <v/>
      </c>
      <c r="AY19" s="24">
        <f>'Costs'!AY43</f>
        <v/>
      </c>
      <c r="AZ19" s="24">
        <f>'Costs'!AZ43</f>
        <v/>
      </c>
      <c r="BA19" s="24">
        <f>'Costs'!BA43</f>
        <v/>
      </c>
      <c r="BB19" s="24">
        <f>'Costs'!BB43</f>
        <v/>
      </c>
      <c r="BC19" s="24">
        <f>'Costs'!BC43</f>
        <v/>
      </c>
      <c r="BD19" s="24">
        <f>'Costs'!BD43</f>
        <v/>
      </c>
      <c r="BE19" s="24">
        <f>'Costs'!BE43</f>
        <v/>
      </c>
      <c r="BF19" s="24">
        <f>'Costs'!BF43</f>
        <v/>
      </c>
      <c r="BG19" s="24">
        <f>'Costs'!BG43</f>
        <v/>
      </c>
      <c r="BH19" s="24">
        <f>'Costs'!BH43</f>
        <v/>
      </c>
      <c r="BI19" s="24">
        <f>'Costs'!BI43</f>
        <v/>
      </c>
      <c r="BJ19" s="24">
        <f>'Costs'!BJ43</f>
        <v/>
      </c>
      <c r="BK19" s="24">
        <f>'Costs'!BK43</f>
        <v/>
      </c>
    </row>
    <row r="20">
      <c r="A20" s="30" t="inlineStr">
        <is>
          <t>Operating costs</t>
        </is>
      </c>
      <c r="B20" s="3" t="inlineStr"/>
      <c r="C20" s="2" t="n"/>
      <c r="D20" s="33">
        <f>SUM(D16:D19)</f>
        <v/>
      </c>
      <c r="E20" s="33">
        <f>SUM(E16:E19)</f>
        <v/>
      </c>
      <c r="F20" s="33">
        <f>SUM(F16:F19)</f>
        <v/>
      </c>
      <c r="G20" s="33">
        <f>SUM(G16:G19)</f>
        <v/>
      </c>
      <c r="H20" s="33">
        <f>SUM(H16:H19)</f>
        <v/>
      </c>
      <c r="I20" s="33">
        <f>SUM(I16:I19)</f>
        <v/>
      </c>
      <c r="J20" s="33">
        <f>SUM(J16:J19)</f>
        <v/>
      </c>
      <c r="K20" s="33">
        <f>SUM(K16:K19)</f>
        <v/>
      </c>
      <c r="L20" s="33">
        <f>SUM(L16:L19)</f>
        <v/>
      </c>
      <c r="M20" s="33">
        <f>SUM(M16:M19)</f>
        <v/>
      </c>
      <c r="N20" s="33">
        <f>SUM(N16:N19)</f>
        <v/>
      </c>
      <c r="O20" s="33">
        <f>SUM(O16:O19)</f>
        <v/>
      </c>
      <c r="P20" s="33">
        <f>SUM(P16:P19)</f>
        <v/>
      </c>
      <c r="Q20" s="33">
        <f>SUM(Q16:Q19)</f>
        <v/>
      </c>
      <c r="R20" s="33">
        <f>SUM(R16:R19)</f>
        <v/>
      </c>
      <c r="S20" s="33">
        <f>SUM(S16:S19)</f>
        <v/>
      </c>
      <c r="T20" s="33">
        <f>SUM(T16:T19)</f>
        <v/>
      </c>
      <c r="U20" s="33">
        <f>SUM(U16:U19)</f>
        <v/>
      </c>
      <c r="V20" s="33">
        <f>SUM(V16:V19)</f>
        <v/>
      </c>
      <c r="W20" s="33">
        <f>SUM(W16:W19)</f>
        <v/>
      </c>
      <c r="X20" s="33">
        <f>SUM(X16:X19)</f>
        <v/>
      </c>
      <c r="Y20" s="33">
        <f>SUM(Y16:Y19)</f>
        <v/>
      </c>
      <c r="Z20" s="33">
        <f>SUM(Z16:Z19)</f>
        <v/>
      </c>
      <c r="AA20" s="33">
        <f>SUM(AA16:AA19)</f>
        <v/>
      </c>
      <c r="AB20" s="33">
        <f>SUM(AB16:AB19)</f>
        <v/>
      </c>
      <c r="AC20" s="33">
        <f>SUM(AC16:AC19)</f>
        <v/>
      </c>
      <c r="AD20" s="33">
        <f>SUM(AD16:AD19)</f>
        <v/>
      </c>
      <c r="AE20" s="33">
        <f>SUM(AE16:AE19)</f>
        <v/>
      </c>
      <c r="AF20" s="33">
        <f>SUM(AF16:AF19)</f>
        <v/>
      </c>
      <c r="AG20" s="33">
        <f>SUM(AG16:AG19)</f>
        <v/>
      </c>
      <c r="AH20" s="33">
        <f>SUM(AH16:AH19)</f>
        <v/>
      </c>
      <c r="AI20" s="33">
        <f>SUM(AI16:AI19)</f>
        <v/>
      </c>
      <c r="AJ20" s="33">
        <f>SUM(AJ16:AJ19)</f>
        <v/>
      </c>
      <c r="AK20" s="33">
        <f>SUM(AK16:AK19)</f>
        <v/>
      </c>
      <c r="AL20" s="33">
        <f>SUM(AL16:AL19)</f>
        <v/>
      </c>
      <c r="AM20" s="33">
        <f>SUM(AM16:AM19)</f>
        <v/>
      </c>
      <c r="AN20" s="33">
        <f>SUM(AN16:AN19)</f>
        <v/>
      </c>
      <c r="AO20" s="33">
        <f>SUM(AO16:AO19)</f>
        <v/>
      </c>
      <c r="AP20" s="33">
        <f>SUM(AP16:AP19)</f>
        <v/>
      </c>
      <c r="AQ20" s="33">
        <f>SUM(AQ16:AQ19)</f>
        <v/>
      </c>
      <c r="AR20" s="33">
        <f>SUM(AR16:AR19)</f>
        <v/>
      </c>
      <c r="AS20" s="33">
        <f>SUM(AS16:AS19)</f>
        <v/>
      </c>
      <c r="AT20" s="33">
        <f>SUM(AT16:AT19)</f>
        <v/>
      </c>
      <c r="AU20" s="33">
        <f>SUM(AU16:AU19)</f>
        <v/>
      </c>
      <c r="AV20" s="33">
        <f>SUM(AV16:AV19)</f>
        <v/>
      </c>
      <c r="AW20" s="33">
        <f>SUM(AW16:AW19)</f>
        <v/>
      </c>
      <c r="AX20" s="33">
        <f>SUM(AX16:AX19)</f>
        <v/>
      </c>
      <c r="AY20" s="33">
        <f>SUM(AY16:AY19)</f>
        <v/>
      </c>
      <c r="AZ20" s="33">
        <f>SUM(AZ16:AZ19)</f>
        <v/>
      </c>
      <c r="BA20" s="33">
        <f>SUM(BA16:BA19)</f>
        <v/>
      </c>
      <c r="BB20" s="33">
        <f>SUM(BB16:BB19)</f>
        <v/>
      </c>
      <c r="BC20" s="33">
        <f>SUM(BC16:BC19)</f>
        <v/>
      </c>
      <c r="BD20" s="33">
        <f>SUM(BD16:BD19)</f>
        <v/>
      </c>
      <c r="BE20" s="33">
        <f>SUM(BE16:BE19)</f>
        <v/>
      </c>
      <c r="BF20" s="33">
        <f>SUM(BF16:BF19)</f>
        <v/>
      </c>
      <c r="BG20" s="33">
        <f>SUM(BG16:BG19)</f>
        <v/>
      </c>
      <c r="BH20" s="33">
        <f>SUM(BH16:BH19)</f>
        <v/>
      </c>
      <c r="BI20" s="33">
        <f>SUM(BI16:BI19)</f>
        <v/>
      </c>
      <c r="BJ20" s="33">
        <f>SUM(BJ16:BJ19)</f>
        <v/>
      </c>
      <c r="BK20" s="33">
        <f>SUM(BK16:BK19)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</row>
    <row r="22">
      <c r="A22" s="14" t="inlineStr">
        <is>
          <t>Contribution after direct costs</t>
        </is>
      </c>
      <c r="B22" s="3" t="inlineStr"/>
      <c r="C22" s="2" t="n"/>
      <c r="D22" s="24">
        <f>D13-D16</f>
        <v/>
      </c>
      <c r="E22" s="24">
        <f>E13-E16</f>
        <v/>
      </c>
      <c r="F22" s="24">
        <f>F13-F16</f>
        <v/>
      </c>
      <c r="G22" s="24">
        <f>G13-G16</f>
        <v/>
      </c>
      <c r="H22" s="24">
        <f>H13-H16</f>
        <v/>
      </c>
      <c r="I22" s="24">
        <f>I13-I16</f>
        <v/>
      </c>
      <c r="J22" s="24">
        <f>J13-J16</f>
        <v/>
      </c>
      <c r="K22" s="24">
        <f>K13-K16</f>
        <v/>
      </c>
      <c r="L22" s="24">
        <f>L13-L16</f>
        <v/>
      </c>
      <c r="M22" s="24">
        <f>M13-M16</f>
        <v/>
      </c>
      <c r="N22" s="24">
        <f>N13-N16</f>
        <v/>
      </c>
      <c r="O22" s="24">
        <f>O13-O16</f>
        <v/>
      </c>
      <c r="P22" s="24">
        <f>P13-P16</f>
        <v/>
      </c>
      <c r="Q22" s="24">
        <f>Q13-Q16</f>
        <v/>
      </c>
      <c r="R22" s="24">
        <f>R13-R16</f>
        <v/>
      </c>
      <c r="S22" s="24">
        <f>S13-S16</f>
        <v/>
      </c>
      <c r="T22" s="24">
        <f>T13-T16</f>
        <v/>
      </c>
      <c r="U22" s="24">
        <f>U13-U16</f>
        <v/>
      </c>
      <c r="V22" s="24">
        <f>V13-V16</f>
        <v/>
      </c>
      <c r="W22" s="24">
        <f>W13-W16</f>
        <v/>
      </c>
      <c r="X22" s="24">
        <f>X13-X16</f>
        <v/>
      </c>
      <c r="Y22" s="24">
        <f>Y13-Y16</f>
        <v/>
      </c>
      <c r="Z22" s="24">
        <f>Z13-Z16</f>
        <v/>
      </c>
      <c r="AA22" s="24">
        <f>AA13-AA16</f>
        <v/>
      </c>
      <c r="AB22" s="24">
        <f>AB13-AB16</f>
        <v/>
      </c>
      <c r="AC22" s="24">
        <f>AC13-AC16</f>
        <v/>
      </c>
      <c r="AD22" s="24">
        <f>AD13-AD16</f>
        <v/>
      </c>
      <c r="AE22" s="24">
        <f>AE13-AE16</f>
        <v/>
      </c>
      <c r="AF22" s="24">
        <f>AF13-AF16</f>
        <v/>
      </c>
      <c r="AG22" s="24">
        <f>AG13-AG16</f>
        <v/>
      </c>
      <c r="AH22" s="24">
        <f>AH13-AH16</f>
        <v/>
      </c>
      <c r="AI22" s="24">
        <f>AI13-AI16</f>
        <v/>
      </c>
      <c r="AJ22" s="24">
        <f>AJ13-AJ16</f>
        <v/>
      </c>
      <c r="AK22" s="24">
        <f>AK13-AK16</f>
        <v/>
      </c>
      <c r="AL22" s="24">
        <f>AL13-AL16</f>
        <v/>
      </c>
      <c r="AM22" s="24">
        <f>AM13-AM16</f>
        <v/>
      </c>
      <c r="AN22" s="24">
        <f>AN13-AN16</f>
        <v/>
      </c>
      <c r="AO22" s="24">
        <f>AO13-AO16</f>
        <v/>
      </c>
      <c r="AP22" s="24">
        <f>AP13-AP16</f>
        <v/>
      </c>
      <c r="AQ22" s="24">
        <f>AQ13-AQ16</f>
        <v/>
      </c>
      <c r="AR22" s="24">
        <f>AR13-AR16</f>
        <v/>
      </c>
      <c r="AS22" s="24">
        <f>AS13-AS16</f>
        <v/>
      </c>
      <c r="AT22" s="24">
        <f>AT13-AT16</f>
        <v/>
      </c>
      <c r="AU22" s="24">
        <f>AU13-AU16</f>
        <v/>
      </c>
      <c r="AV22" s="24">
        <f>AV13-AV16</f>
        <v/>
      </c>
      <c r="AW22" s="24">
        <f>AW13-AW16</f>
        <v/>
      </c>
      <c r="AX22" s="24">
        <f>AX13-AX16</f>
        <v/>
      </c>
      <c r="AY22" s="24">
        <f>AY13-AY16</f>
        <v/>
      </c>
      <c r="AZ22" s="24">
        <f>AZ13-AZ16</f>
        <v/>
      </c>
      <c r="BA22" s="24">
        <f>BA13-BA16</f>
        <v/>
      </c>
      <c r="BB22" s="24">
        <f>BB13-BB16</f>
        <v/>
      </c>
      <c r="BC22" s="24">
        <f>BC13-BC16</f>
        <v/>
      </c>
      <c r="BD22" s="24">
        <f>BD13-BD16</f>
        <v/>
      </c>
      <c r="BE22" s="24">
        <f>BE13-BE16</f>
        <v/>
      </c>
      <c r="BF22" s="24">
        <f>BF13-BF16</f>
        <v/>
      </c>
      <c r="BG22" s="24">
        <f>BG13-BG16</f>
        <v/>
      </c>
      <c r="BH22" s="24">
        <f>BH13-BH16</f>
        <v/>
      </c>
      <c r="BI22" s="24">
        <f>BI13-BI16</f>
        <v/>
      </c>
      <c r="BJ22" s="24">
        <f>BJ13-BJ16</f>
        <v/>
      </c>
      <c r="BK22" s="24">
        <f>BK13-BK16</f>
        <v/>
      </c>
    </row>
    <row r="23">
      <c r="A23" s="30" t="inlineStr">
        <is>
          <t>EBITDA</t>
        </is>
      </c>
      <c r="B23" s="3" t="inlineStr"/>
      <c r="C23" s="2" t="n"/>
      <c r="D23" s="33">
        <f>D13-D20</f>
        <v/>
      </c>
      <c r="E23" s="33">
        <f>E13-E20</f>
        <v/>
      </c>
      <c r="F23" s="33">
        <f>F13-F20</f>
        <v/>
      </c>
      <c r="G23" s="33">
        <f>G13-G20</f>
        <v/>
      </c>
      <c r="H23" s="33">
        <f>H13-H20</f>
        <v/>
      </c>
      <c r="I23" s="33">
        <f>I13-I20</f>
        <v/>
      </c>
      <c r="J23" s="33">
        <f>J13-J20</f>
        <v/>
      </c>
      <c r="K23" s="33">
        <f>K13-K20</f>
        <v/>
      </c>
      <c r="L23" s="33">
        <f>L13-L20</f>
        <v/>
      </c>
      <c r="M23" s="33">
        <f>M13-M20</f>
        <v/>
      </c>
      <c r="N23" s="33">
        <f>N13-N20</f>
        <v/>
      </c>
      <c r="O23" s="33">
        <f>O13-O20</f>
        <v/>
      </c>
      <c r="P23" s="33">
        <f>P13-P20</f>
        <v/>
      </c>
      <c r="Q23" s="33">
        <f>Q13-Q20</f>
        <v/>
      </c>
      <c r="R23" s="33">
        <f>R13-R20</f>
        <v/>
      </c>
      <c r="S23" s="33">
        <f>S13-S20</f>
        <v/>
      </c>
      <c r="T23" s="33">
        <f>T13-T20</f>
        <v/>
      </c>
      <c r="U23" s="33">
        <f>U13-U20</f>
        <v/>
      </c>
      <c r="V23" s="33">
        <f>V13-V20</f>
        <v/>
      </c>
      <c r="W23" s="33">
        <f>W13-W20</f>
        <v/>
      </c>
      <c r="X23" s="33">
        <f>X13-X20</f>
        <v/>
      </c>
      <c r="Y23" s="33">
        <f>Y13-Y20</f>
        <v/>
      </c>
      <c r="Z23" s="33">
        <f>Z13-Z20</f>
        <v/>
      </c>
      <c r="AA23" s="33">
        <f>AA13-AA20</f>
        <v/>
      </c>
      <c r="AB23" s="33">
        <f>AB13-AB20</f>
        <v/>
      </c>
      <c r="AC23" s="33">
        <f>AC13-AC20</f>
        <v/>
      </c>
      <c r="AD23" s="33">
        <f>AD13-AD20</f>
        <v/>
      </c>
      <c r="AE23" s="33">
        <f>AE13-AE20</f>
        <v/>
      </c>
      <c r="AF23" s="33">
        <f>AF13-AF20</f>
        <v/>
      </c>
      <c r="AG23" s="33">
        <f>AG13-AG20</f>
        <v/>
      </c>
      <c r="AH23" s="33">
        <f>AH13-AH20</f>
        <v/>
      </c>
      <c r="AI23" s="33">
        <f>AI13-AI20</f>
        <v/>
      </c>
      <c r="AJ23" s="33">
        <f>AJ13-AJ20</f>
        <v/>
      </c>
      <c r="AK23" s="33">
        <f>AK13-AK20</f>
        <v/>
      </c>
      <c r="AL23" s="33">
        <f>AL13-AL20</f>
        <v/>
      </c>
      <c r="AM23" s="33">
        <f>AM13-AM20</f>
        <v/>
      </c>
      <c r="AN23" s="33">
        <f>AN13-AN20</f>
        <v/>
      </c>
      <c r="AO23" s="33">
        <f>AO13-AO20</f>
        <v/>
      </c>
      <c r="AP23" s="33">
        <f>AP13-AP20</f>
        <v/>
      </c>
      <c r="AQ23" s="33">
        <f>AQ13-AQ20</f>
        <v/>
      </c>
      <c r="AR23" s="33">
        <f>AR13-AR20</f>
        <v/>
      </c>
      <c r="AS23" s="33">
        <f>AS13-AS20</f>
        <v/>
      </c>
      <c r="AT23" s="33">
        <f>AT13-AT20</f>
        <v/>
      </c>
      <c r="AU23" s="33">
        <f>AU13-AU20</f>
        <v/>
      </c>
      <c r="AV23" s="33">
        <f>AV13-AV20</f>
        <v/>
      </c>
      <c r="AW23" s="33">
        <f>AW13-AW20</f>
        <v/>
      </c>
      <c r="AX23" s="33">
        <f>AX13-AX20</f>
        <v/>
      </c>
      <c r="AY23" s="33">
        <f>AY13-AY20</f>
        <v/>
      </c>
      <c r="AZ23" s="33">
        <f>AZ13-AZ20</f>
        <v/>
      </c>
      <c r="BA23" s="33">
        <f>BA13-BA20</f>
        <v/>
      </c>
      <c r="BB23" s="33">
        <f>BB13-BB20</f>
        <v/>
      </c>
      <c r="BC23" s="33">
        <f>BC13-BC20</f>
        <v/>
      </c>
      <c r="BD23" s="33">
        <f>BD13-BD20</f>
        <v/>
      </c>
      <c r="BE23" s="33">
        <f>BE13-BE20</f>
        <v/>
      </c>
      <c r="BF23" s="33">
        <f>BF13-BF20</f>
        <v/>
      </c>
      <c r="BG23" s="33">
        <f>BG13-BG20</f>
        <v/>
      </c>
      <c r="BH23" s="33">
        <f>BH13-BH20</f>
        <v/>
      </c>
      <c r="BI23" s="33">
        <f>BI13-BI20</f>
        <v/>
      </c>
      <c r="BJ23" s="33">
        <f>BJ13-BJ20</f>
        <v/>
      </c>
      <c r="BK23" s="33">
        <f>BK13-BK20</f>
        <v/>
      </c>
    </row>
    <row r="24">
      <c r="A24" s="14" t="inlineStr">
        <is>
          <t>EBITDA margin</t>
        </is>
      </c>
      <c r="B24" s="3" t="inlineStr"/>
      <c r="C24" s="2" t="n"/>
      <c r="D24" s="34">
        <f>IF(D13=0,0,D23/D13)</f>
        <v/>
      </c>
      <c r="E24" s="34">
        <f>IF(E13=0,0,E23/E13)</f>
        <v/>
      </c>
      <c r="F24" s="34">
        <f>IF(F13=0,0,F23/F13)</f>
        <v/>
      </c>
      <c r="G24" s="34">
        <f>IF(G13=0,0,G23/G13)</f>
        <v/>
      </c>
      <c r="H24" s="34">
        <f>IF(H13=0,0,H23/H13)</f>
        <v/>
      </c>
      <c r="I24" s="34">
        <f>IF(I13=0,0,I23/I13)</f>
        <v/>
      </c>
      <c r="J24" s="34">
        <f>IF(J13=0,0,J23/J13)</f>
        <v/>
      </c>
      <c r="K24" s="34">
        <f>IF(K13=0,0,K23/K13)</f>
        <v/>
      </c>
      <c r="L24" s="34">
        <f>IF(L13=0,0,L23/L13)</f>
        <v/>
      </c>
      <c r="M24" s="34">
        <f>IF(M13=0,0,M23/M13)</f>
        <v/>
      </c>
      <c r="N24" s="34">
        <f>IF(N13=0,0,N23/N13)</f>
        <v/>
      </c>
      <c r="O24" s="34">
        <f>IF(O13=0,0,O23/O13)</f>
        <v/>
      </c>
      <c r="P24" s="34">
        <f>IF(P13=0,0,P23/P13)</f>
        <v/>
      </c>
      <c r="Q24" s="34">
        <f>IF(Q13=0,0,Q23/Q13)</f>
        <v/>
      </c>
      <c r="R24" s="34">
        <f>IF(R13=0,0,R23/R13)</f>
        <v/>
      </c>
      <c r="S24" s="34">
        <f>IF(S13=0,0,S23/S13)</f>
        <v/>
      </c>
      <c r="T24" s="34">
        <f>IF(T13=0,0,T23/T13)</f>
        <v/>
      </c>
      <c r="U24" s="34">
        <f>IF(U13=0,0,U23/U13)</f>
        <v/>
      </c>
      <c r="V24" s="34">
        <f>IF(V13=0,0,V23/V13)</f>
        <v/>
      </c>
      <c r="W24" s="34">
        <f>IF(W13=0,0,W23/W13)</f>
        <v/>
      </c>
      <c r="X24" s="34">
        <f>IF(X13=0,0,X23/X13)</f>
        <v/>
      </c>
      <c r="Y24" s="34">
        <f>IF(Y13=0,0,Y23/Y13)</f>
        <v/>
      </c>
      <c r="Z24" s="34">
        <f>IF(Z13=0,0,Z23/Z13)</f>
        <v/>
      </c>
      <c r="AA24" s="34">
        <f>IF(AA13=0,0,AA23/AA13)</f>
        <v/>
      </c>
      <c r="AB24" s="34">
        <f>IF(AB13=0,0,AB23/AB13)</f>
        <v/>
      </c>
      <c r="AC24" s="34">
        <f>IF(AC13=0,0,AC23/AC13)</f>
        <v/>
      </c>
      <c r="AD24" s="34">
        <f>IF(AD13=0,0,AD23/AD13)</f>
        <v/>
      </c>
      <c r="AE24" s="34">
        <f>IF(AE13=0,0,AE23/AE13)</f>
        <v/>
      </c>
      <c r="AF24" s="34">
        <f>IF(AF13=0,0,AF23/AF13)</f>
        <v/>
      </c>
      <c r="AG24" s="34">
        <f>IF(AG13=0,0,AG23/AG13)</f>
        <v/>
      </c>
      <c r="AH24" s="34">
        <f>IF(AH13=0,0,AH23/AH13)</f>
        <v/>
      </c>
      <c r="AI24" s="34">
        <f>IF(AI13=0,0,AI23/AI13)</f>
        <v/>
      </c>
      <c r="AJ24" s="34">
        <f>IF(AJ13=0,0,AJ23/AJ13)</f>
        <v/>
      </c>
      <c r="AK24" s="34">
        <f>IF(AK13=0,0,AK23/AK13)</f>
        <v/>
      </c>
      <c r="AL24" s="34">
        <f>IF(AL13=0,0,AL23/AL13)</f>
        <v/>
      </c>
      <c r="AM24" s="34">
        <f>IF(AM13=0,0,AM23/AM13)</f>
        <v/>
      </c>
      <c r="AN24" s="34">
        <f>IF(AN13=0,0,AN23/AN13)</f>
        <v/>
      </c>
      <c r="AO24" s="34">
        <f>IF(AO13=0,0,AO23/AO13)</f>
        <v/>
      </c>
      <c r="AP24" s="34">
        <f>IF(AP13=0,0,AP23/AP13)</f>
        <v/>
      </c>
      <c r="AQ24" s="34">
        <f>IF(AQ13=0,0,AQ23/AQ13)</f>
        <v/>
      </c>
      <c r="AR24" s="34">
        <f>IF(AR13=0,0,AR23/AR13)</f>
        <v/>
      </c>
      <c r="AS24" s="34">
        <f>IF(AS13=0,0,AS23/AS13)</f>
        <v/>
      </c>
      <c r="AT24" s="34">
        <f>IF(AT13=0,0,AT23/AT13)</f>
        <v/>
      </c>
      <c r="AU24" s="34">
        <f>IF(AU13=0,0,AU23/AU13)</f>
        <v/>
      </c>
      <c r="AV24" s="34">
        <f>IF(AV13=0,0,AV23/AV13)</f>
        <v/>
      </c>
      <c r="AW24" s="34">
        <f>IF(AW13=0,0,AW23/AW13)</f>
        <v/>
      </c>
      <c r="AX24" s="34">
        <f>IF(AX13=0,0,AX23/AX13)</f>
        <v/>
      </c>
      <c r="AY24" s="34">
        <f>IF(AY13=0,0,AY23/AY13)</f>
        <v/>
      </c>
      <c r="AZ24" s="34">
        <f>IF(AZ13=0,0,AZ23/AZ13)</f>
        <v/>
      </c>
      <c r="BA24" s="34">
        <f>IF(BA13=0,0,BA23/BA13)</f>
        <v/>
      </c>
      <c r="BB24" s="34">
        <f>IF(BB13=0,0,BB23/BB13)</f>
        <v/>
      </c>
      <c r="BC24" s="34">
        <f>IF(BC13=0,0,BC23/BC13)</f>
        <v/>
      </c>
      <c r="BD24" s="34">
        <f>IF(BD13=0,0,BD23/BD13)</f>
        <v/>
      </c>
      <c r="BE24" s="34">
        <f>IF(BE13=0,0,BE23/BE13)</f>
        <v/>
      </c>
      <c r="BF24" s="34">
        <f>IF(BF13=0,0,BF23/BF13)</f>
        <v/>
      </c>
      <c r="BG24" s="34">
        <f>IF(BG13=0,0,BG23/BG13)</f>
        <v/>
      </c>
      <c r="BH24" s="34">
        <f>IF(BH13=0,0,BH23/BH13)</f>
        <v/>
      </c>
      <c r="BI24" s="34">
        <f>IF(BI13=0,0,BI23/BI13)</f>
        <v/>
      </c>
      <c r="BJ24" s="34">
        <f>IF(BJ13=0,0,BJ23/BJ13)</f>
        <v/>
      </c>
      <c r="BK24" s="34">
        <f>IF(BK13=0,0,BK23/BK13)</f>
        <v/>
      </c>
    </row>
    <row r="25">
      <c r="A25" s="14" t="inlineStr">
        <is>
          <t>Positive for six months running (flag)</t>
        </is>
      </c>
      <c r="B25" s="3" t="inlineStr"/>
      <c r="C25" s="2" t="n"/>
      <c r="D25" s="22">
        <f>IF(COUNTIF(D23:I23,"&gt;0")=MIN(6,60-D$4+1),IF(D23&gt;0,1,0),0)</f>
        <v/>
      </c>
      <c r="E25" s="22">
        <f>IF(COUNTIF(E23:J23,"&gt;0")=MIN(6,60-E$4+1),IF(E23&gt;0,1,0),0)</f>
        <v/>
      </c>
      <c r="F25" s="22">
        <f>IF(COUNTIF(F23:K23,"&gt;0")=MIN(6,60-F$4+1),IF(F23&gt;0,1,0),0)</f>
        <v/>
      </c>
      <c r="G25" s="22">
        <f>IF(COUNTIF(G23:L23,"&gt;0")=MIN(6,60-G$4+1),IF(G23&gt;0,1,0),0)</f>
        <v/>
      </c>
      <c r="H25" s="22">
        <f>IF(COUNTIF(H23:M23,"&gt;0")=MIN(6,60-H$4+1),IF(H23&gt;0,1,0),0)</f>
        <v/>
      </c>
      <c r="I25" s="22">
        <f>IF(COUNTIF(I23:N23,"&gt;0")=MIN(6,60-I$4+1),IF(I23&gt;0,1,0),0)</f>
        <v/>
      </c>
      <c r="J25" s="22">
        <f>IF(COUNTIF(J23:O23,"&gt;0")=MIN(6,60-J$4+1),IF(J23&gt;0,1,0),0)</f>
        <v/>
      </c>
      <c r="K25" s="22">
        <f>IF(COUNTIF(K23:P23,"&gt;0")=MIN(6,60-K$4+1),IF(K23&gt;0,1,0),0)</f>
        <v/>
      </c>
      <c r="L25" s="22">
        <f>IF(COUNTIF(L23:Q23,"&gt;0")=MIN(6,60-L$4+1),IF(L23&gt;0,1,0),0)</f>
        <v/>
      </c>
      <c r="M25" s="22">
        <f>IF(COUNTIF(M23:R23,"&gt;0")=MIN(6,60-M$4+1),IF(M23&gt;0,1,0),0)</f>
        <v/>
      </c>
      <c r="N25" s="22">
        <f>IF(COUNTIF(N23:S23,"&gt;0")=MIN(6,60-N$4+1),IF(N23&gt;0,1,0),0)</f>
        <v/>
      </c>
      <c r="O25" s="22">
        <f>IF(COUNTIF(O23:T23,"&gt;0")=MIN(6,60-O$4+1),IF(O23&gt;0,1,0),0)</f>
        <v/>
      </c>
      <c r="P25" s="22">
        <f>IF(COUNTIF(P23:U23,"&gt;0")=MIN(6,60-P$4+1),IF(P23&gt;0,1,0),0)</f>
        <v/>
      </c>
      <c r="Q25" s="22">
        <f>IF(COUNTIF(Q23:V23,"&gt;0")=MIN(6,60-Q$4+1),IF(Q23&gt;0,1,0),0)</f>
        <v/>
      </c>
      <c r="R25" s="22">
        <f>IF(COUNTIF(R23:W23,"&gt;0")=MIN(6,60-R$4+1),IF(R23&gt;0,1,0),0)</f>
        <v/>
      </c>
      <c r="S25" s="22">
        <f>IF(COUNTIF(S23:X23,"&gt;0")=MIN(6,60-S$4+1),IF(S23&gt;0,1,0),0)</f>
        <v/>
      </c>
      <c r="T25" s="22">
        <f>IF(COUNTIF(T23:Y23,"&gt;0")=MIN(6,60-T$4+1),IF(T23&gt;0,1,0),0)</f>
        <v/>
      </c>
      <c r="U25" s="22">
        <f>IF(COUNTIF(U23:Z23,"&gt;0")=MIN(6,60-U$4+1),IF(U23&gt;0,1,0),0)</f>
        <v/>
      </c>
      <c r="V25" s="22">
        <f>IF(COUNTIF(V23:AA23,"&gt;0")=MIN(6,60-V$4+1),IF(V23&gt;0,1,0),0)</f>
        <v/>
      </c>
      <c r="W25" s="22">
        <f>IF(COUNTIF(W23:AB23,"&gt;0")=MIN(6,60-W$4+1),IF(W23&gt;0,1,0),0)</f>
        <v/>
      </c>
      <c r="X25" s="22">
        <f>IF(COUNTIF(X23:AC23,"&gt;0")=MIN(6,60-X$4+1),IF(X23&gt;0,1,0),0)</f>
        <v/>
      </c>
      <c r="Y25" s="22">
        <f>IF(COUNTIF(Y23:AD23,"&gt;0")=MIN(6,60-Y$4+1),IF(Y23&gt;0,1,0),0)</f>
        <v/>
      </c>
      <c r="Z25" s="22">
        <f>IF(COUNTIF(Z23:AE23,"&gt;0")=MIN(6,60-Z$4+1),IF(Z23&gt;0,1,0),0)</f>
        <v/>
      </c>
      <c r="AA25" s="22">
        <f>IF(COUNTIF(AA23:AF23,"&gt;0")=MIN(6,60-AA$4+1),IF(AA23&gt;0,1,0),0)</f>
        <v/>
      </c>
      <c r="AB25" s="22">
        <f>IF(COUNTIF(AB23:AG23,"&gt;0")=MIN(6,60-AB$4+1),IF(AB23&gt;0,1,0),0)</f>
        <v/>
      </c>
      <c r="AC25" s="22">
        <f>IF(COUNTIF(AC23:AH23,"&gt;0")=MIN(6,60-AC$4+1),IF(AC23&gt;0,1,0),0)</f>
        <v/>
      </c>
      <c r="AD25" s="22">
        <f>IF(COUNTIF(AD23:AI23,"&gt;0")=MIN(6,60-AD$4+1),IF(AD23&gt;0,1,0),0)</f>
        <v/>
      </c>
      <c r="AE25" s="22">
        <f>IF(COUNTIF(AE23:AJ23,"&gt;0")=MIN(6,60-AE$4+1),IF(AE23&gt;0,1,0),0)</f>
        <v/>
      </c>
      <c r="AF25" s="22">
        <f>IF(COUNTIF(AF23:AK23,"&gt;0")=MIN(6,60-AF$4+1),IF(AF23&gt;0,1,0),0)</f>
        <v/>
      </c>
      <c r="AG25" s="22">
        <f>IF(COUNTIF(AG23:AL23,"&gt;0")=MIN(6,60-AG$4+1),IF(AG23&gt;0,1,0),0)</f>
        <v/>
      </c>
      <c r="AH25" s="22">
        <f>IF(COUNTIF(AH23:AM23,"&gt;0")=MIN(6,60-AH$4+1),IF(AH23&gt;0,1,0),0)</f>
        <v/>
      </c>
      <c r="AI25" s="22">
        <f>IF(COUNTIF(AI23:AN23,"&gt;0")=MIN(6,60-AI$4+1),IF(AI23&gt;0,1,0),0)</f>
        <v/>
      </c>
      <c r="AJ25" s="22">
        <f>IF(COUNTIF(AJ23:AO23,"&gt;0")=MIN(6,60-AJ$4+1),IF(AJ23&gt;0,1,0),0)</f>
        <v/>
      </c>
      <c r="AK25" s="22">
        <f>IF(COUNTIF(AK23:AP23,"&gt;0")=MIN(6,60-AK$4+1),IF(AK23&gt;0,1,0),0)</f>
        <v/>
      </c>
      <c r="AL25" s="22">
        <f>IF(COUNTIF(AL23:AQ23,"&gt;0")=MIN(6,60-AL$4+1),IF(AL23&gt;0,1,0),0)</f>
        <v/>
      </c>
      <c r="AM25" s="22">
        <f>IF(COUNTIF(AM23:AR23,"&gt;0")=MIN(6,60-AM$4+1),IF(AM23&gt;0,1,0),0)</f>
        <v/>
      </c>
      <c r="AN25" s="22">
        <f>IF(COUNTIF(AN23:AS23,"&gt;0")=MIN(6,60-AN$4+1),IF(AN23&gt;0,1,0),0)</f>
        <v/>
      </c>
      <c r="AO25" s="22">
        <f>IF(COUNTIF(AO23:AT23,"&gt;0")=MIN(6,60-AO$4+1),IF(AO23&gt;0,1,0),0)</f>
        <v/>
      </c>
      <c r="AP25" s="22">
        <f>IF(COUNTIF(AP23:AU23,"&gt;0")=MIN(6,60-AP$4+1),IF(AP23&gt;0,1,0),0)</f>
        <v/>
      </c>
      <c r="AQ25" s="22">
        <f>IF(COUNTIF(AQ23:AV23,"&gt;0")=MIN(6,60-AQ$4+1),IF(AQ23&gt;0,1,0),0)</f>
        <v/>
      </c>
      <c r="AR25" s="22">
        <f>IF(COUNTIF(AR23:AW23,"&gt;0")=MIN(6,60-AR$4+1),IF(AR23&gt;0,1,0),0)</f>
        <v/>
      </c>
      <c r="AS25" s="22">
        <f>IF(COUNTIF(AS23:AX23,"&gt;0")=MIN(6,60-AS$4+1),IF(AS23&gt;0,1,0),0)</f>
        <v/>
      </c>
      <c r="AT25" s="22">
        <f>IF(COUNTIF(AT23:AY23,"&gt;0")=MIN(6,60-AT$4+1),IF(AT23&gt;0,1,0),0)</f>
        <v/>
      </c>
      <c r="AU25" s="22">
        <f>IF(COUNTIF(AU23:AZ23,"&gt;0")=MIN(6,60-AU$4+1),IF(AU23&gt;0,1,0),0)</f>
        <v/>
      </c>
      <c r="AV25" s="22">
        <f>IF(COUNTIF(AV23:BA23,"&gt;0")=MIN(6,60-AV$4+1),IF(AV23&gt;0,1,0),0)</f>
        <v/>
      </c>
      <c r="AW25" s="22">
        <f>IF(COUNTIF(AW23:BB23,"&gt;0")=MIN(6,60-AW$4+1),IF(AW23&gt;0,1,0),0)</f>
        <v/>
      </c>
      <c r="AX25" s="22">
        <f>IF(COUNTIF(AX23:BC23,"&gt;0")=MIN(6,60-AX$4+1),IF(AX23&gt;0,1,0),0)</f>
        <v/>
      </c>
      <c r="AY25" s="22">
        <f>IF(COUNTIF(AY23:BD23,"&gt;0")=MIN(6,60-AY$4+1),IF(AY23&gt;0,1,0),0)</f>
        <v/>
      </c>
      <c r="AZ25" s="22">
        <f>IF(COUNTIF(AZ23:BE23,"&gt;0")=MIN(6,60-AZ$4+1),IF(AZ23&gt;0,1,0),0)</f>
        <v/>
      </c>
      <c r="BA25" s="22">
        <f>IF(COUNTIF(BA23:BF23,"&gt;0")=MIN(6,60-BA$4+1),IF(BA23&gt;0,1,0),0)</f>
        <v/>
      </c>
      <c r="BB25" s="22">
        <f>IF(COUNTIF(BB23:BG23,"&gt;0")=MIN(6,60-BB$4+1),IF(BB23&gt;0,1,0),0)</f>
        <v/>
      </c>
      <c r="BC25" s="22">
        <f>IF(COUNTIF(BC23:BH23,"&gt;0")=MIN(6,60-BC$4+1),IF(BC23&gt;0,1,0),0)</f>
        <v/>
      </c>
      <c r="BD25" s="22">
        <f>IF(COUNTIF(BD23:BI23,"&gt;0")=MIN(6,60-BD$4+1),IF(BD23&gt;0,1,0),0)</f>
        <v/>
      </c>
      <c r="BE25" s="22">
        <f>IF(COUNTIF(BE23:BJ23,"&gt;0")=MIN(6,60-BE$4+1),IF(BE23&gt;0,1,0),0)</f>
        <v/>
      </c>
      <c r="BF25" s="22">
        <f>IF(COUNTIF(BF23:BK23,"&gt;0")=MIN(6,60-BF$4+1),IF(BF23&gt;0,1,0),0)</f>
        <v/>
      </c>
      <c r="BG25" s="22">
        <f>IF(COUNTIF(BG23:BK23,"&gt;0")=MIN(6,60-BG$4+1),IF(BG23&gt;0,1,0),0)</f>
        <v/>
      </c>
      <c r="BH25" s="22">
        <f>IF(COUNTIF(BH23:BK23,"&gt;0")=MIN(6,60-BH$4+1),IF(BH23&gt;0,1,0),0)</f>
        <v/>
      </c>
      <c r="BI25" s="22">
        <f>IF(COUNTIF(BI23:BK23,"&gt;0")=MIN(6,60-BI$4+1),IF(BI23&gt;0,1,0),0)</f>
        <v/>
      </c>
      <c r="BJ25" s="22">
        <f>IF(COUNTIF(BJ23:BK23,"&gt;0")=MIN(6,60-BJ$4+1),IF(BJ23&gt;0,1,0),0)</f>
        <v/>
      </c>
      <c r="BK25" s="22">
        <f>IF(COUNTIF(BK23:BK23,"&gt;0")=MIN(6,60-BK$4+1),IF(BK23&gt;0,1,0),0)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3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</cols>
  <sheetData>
    <row r="1">
      <c r="A1" s="1" t="inlineStr">
        <is>
          <t>Ilé: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s="3" t="inlineStr">
        <is>
          <t>EBITDA to cash. Before tax. The raise arrives in month 1.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</row>
    <row r="4">
      <c r="A4" s="4" t="inlineStr">
        <is>
          <t>Month</t>
        </is>
      </c>
      <c r="B4" s="2" t="n"/>
      <c r="C4" s="2" t="n"/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4" t="n">
        <v>37</v>
      </c>
      <c r="AO4" s="4" t="n">
        <v>38</v>
      </c>
      <c r="AP4" s="4" t="n">
        <v>39</v>
      </c>
      <c r="AQ4" s="4" t="n">
        <v>40</v>
      </c>
      <c r="AR4" s="4" t="n">
        <v>41</v>
      </c>
      <c r="AS4" s="4" t="n">
        <v>42</v>
      </c>
      <c r="AT4" s="4" t="n">
        <v>43</v>
      </c>
      <c r="AU4" s="4" t="n">
        <v>44</v>
      </c>
      <c r="AV4" s="4" t="n">
        <v>45</v>
      </c>
      <c r="AW4" s="4" t="n">
        <v>46</v>
      </c>
      <c r="AX4" s="4" t="n">
        <v>47</v>
      </c>
      <c r="AY4" s="4" t="n">
        <v>48</v>
      </c>
      <c r="AZ4" s="4" t="n">
        <v>49</v>
      </c>
      <c r="BA4" s="4" t="n">
        <v>50</v>
      </c>
      <c r="BB4" s="4" t="n">
        <v>51</v>
      </c>
      <c r="BC4" s="4" t="n">
        <v>52</v>
      </c>
      <c r="BD4" s="4" t="n">
        <v>53</v>
      </c>
      <c r="BE4" s="4" t="n">
        <v>54</v>
      </c>
      <c r="BF4" s="4" t="n">
        <v>55</v>
      </c>
      <c r="BG4" s="4" t="n">
        <v>56</v>
      </c>
      <c r="BH4" s="4" t="n">
        <v>57</v>
      </c>
      <c r="BI4" s="4" t="n">
        <v>58</v>
      </c>
      <c r="BJ4" s="4" t="n">
        <v>59</v>
      </c>
      <c r="BK4" s="4" t="n">
        <v>60</v>
      </c>
    </row>
    <row r="5">
      <c r="A5" s="4" t="inlineStr">
        <is>
          <t>Period</t>
        </is>
      </c>
      <c r="B5" s="2" t="n"/>
      <c r="C5" s="2" t="n"/>
      <c r="D5" s="28" t="inlineStr">
        <is>
          <t>Nov 2026</t>
        </is>
      </c>
      <c r="E5" s="28" t="inlineStr">
        <is>
          <t>Dec 2026</t>
        </is>
      </c>
      <c r="F5" s="28" t="inlineStr">
        <is>
          <t>Jan 2027</t>
        </is>
      </c>
      <c r="G5" s="28" t="inlineStr">
        <is>
          <t>Feb 2027</t>
        </is>
      </c>
      <c r="H5" s="28" t="inlineStr">
        <is>
          <t>Mar 2027</t>
        </is>
      </c>
      <c r="I5" s="28" t="inlineStr">
        <is>
          <t>Apr 2027</t>
        </is>
      </c>
      <c r="J5" s="28" t="inlineStr">
        <is>
          <t>May 2027</t>
        </is>
      </c>
      <c r="K5" s="28" t="inlineStr">
        <is>
          <t>Jun 2027</t>
        </is>
      </c>
      <c r="L5" s="28" t="inlineStr">
        <is>
          <t>Jul 2027</t>
        </is>
      </c>
      <c r="M5" s="28" t="inlineStr">
        <is>
          <t>Aug 2027</t>
        </is>
      </c>
      <c r="N5" s="28" t="inlineStr">
        <is>
          <t>Sep 2027</t>
        </is>
      </c>
      <c r="O5" s="28" t="inlineStr">
        <is>
          <t>Oct 2027</t>
        </is>
      </c>
      <c r="P5" s="28" t="inlineStr">
        <is>
          <t>Nov 2027</t>
        </is>
      </c>
      <c r="Q5" s="28" t="inlineStr">
        <is>
          <t>Dec 2027</t>
        </is>
      </c>
      <c r="R5" s="28" t="inlineStr">
        <is>
          <t>Jan 2028</t>
        </is>
      </c>
      <c r="S5" s="28" t="inlineStr">
        <is>
          <t>Feb 2028</t>
        </is>
      </c>
      <c r="T5" s="28" t="inlineStr">
        <is>
          <t>Mar 2028</t>
        </is>
      </c>
      <c r="U5" s="28" t="inlineStr">
        <is>
          <t>Apr 2028</t>
        </is>
      </c>
      <c r="V5" s="28" t="inlineStr">
        <is>
          <t>May 2028</t>
        </is>
      </c>
      <c r="W5" s="28" t="inlineStr">
        <is>
          <t>Jun 2028</t>
        </is>
      </c>
      <c r="X5" s="28" t="inlineStr">
        <is>
          <t>Jul 2028</t>
        </is>
      </c>
      <c r="Y5" s="28" t="inlineStr">
        <is>
          <t>Aug 2028</t>
        </is>
      </c>
      <c r="Z5" s="28" t="inlineStr">
        <is>
          <t>Sep 2028</t>
        </is>
      </c>
      <c r="AA5" s="28" t="inlineStr">
        <is>
          <t>Oct 2028</t>
        </is>
      </c>
      <c r="AB5" s="28" t="inlineStr">
        <is>
          <t>Nov 2028</t>
        </is>
      </c>
      <c r="AC5" s="28" t="inlineStr">
        <is>
          <t>Dec 2028</t>
        </is>
      </c>
      <c r="AD5" s="28" t="inlineStr">
        <is>
          <t>Jan 2029</t>
        </is>
      </c>
      <c r="AE5" s="28" t="inlineStr">
        <is>
          <t>Feb 2029</t>
        </is>
      </c>
      <c r="AF5" s="28" t="inlineStr">
        <is>
          <t>Mar 2029</t>
        </is>
      </c>
      <c r="AG5" s="28" t="inlineStr">
        <is>
          <t>Apr 2029</t>
        </is>
      </c>
      <c r="AH5" s="28" t="inlineStr">
        <is>
          <t>May 2029</t>
        </is>
      </c>
      <c r="AI5" s="28" t="inlineStr">
        <is>
          <t>Jun 2029</t>
        </is>
      </c>
      <c r="AJ5" s="28" t="inlineStr">
        <is>
          <t>Jul 2029</t>
        </is>
      </c>
      <c r="AK5" s="28" t="inlineStr">
        <is>
          <t>Aug 2029</t>
        </is>
      </c>
      <c r="AL5" s="28" t="inlineStr">
        <is>
          <t>Sep 2029</t>
        </is>
      </c>
      <c r="AM5" s="28" t="inlineStr">
        <is>
          <t>Oct 2029</t>
        </is>
      </c>
      <c r="AN5" s="28" t="inlineStr">
        <is>
          <t>Nov 2029</t>
        </is>
      </c>
      <c r="AO5" s="28" t="inlineStr">
        <is>
          <t>Dec 2029</t>
        </is>
      </c>
      <c r="AP5" s="28" t="inlineStr">
        <is>
          <t>Jan 2030</t>
        </is>
      </c>
      <c r="AQ5" s="28" t="inlineStr">
        <is>
          <t>Feb 2030</t>
        </is>
      </c>
      <c r="AR5" s="28" t="inlineStr">
        <is>
          <t>Mar 2030</t>
        </is>
      </c>
      <c r="AS5" s="28" t="inlineStr">
        <is>
          <t>Apr 2030</t>
        </is>
      </c>
      <c r="AT5" s="28" t="inlineStr">
        <is>
          <t>May 2030</t>
        </is>
      </c>
      <c r="AU5" s="28" t="inlineStr">
        <is>
          <t>Jun 2030</t>
        </is>
      </c>
      <c r="AV5" s="28" t="inlineStr">
        <is>
          <t>Jul 2030</t>
        </is>
      </c>
      <c r="AW5" s="28" t="inlineStr">
        <is>
          <t>Aug 2030</t>
        </is>
      </c>
      <c r="AX5" s="28" t="inlineStr">
        <is>
          <t>Sep 2030</t>
        </is>
      </c>
      <c r="AY5" s="28" t="inlineStr">
        <is>
          <t>Oct 2030</t>
        </is>
      </c>
      <c r="AZ5" s="28" t="inlineStr">
        <is>
          <t>Nov 2030</t>
        </is>
      </c>
      <c r="BA5" s="28" t="inlineStr">
        <is>
          <t>Dec 2030</t>
        </is>
      </c>
      <c r="BB5" s="28" t="inlineStr">
        <is>
          <t>Jan 2031</t>
        </is>
      </c>
      <c r="BC5" s="28" t="inlineStr">
        <is>
          <t>Feb 2031</t>
        </is>
      </c>
      <c r="BD5" s="28" t="inlineStr">
        <is>
          <t>Mar 2031</t>
        </is>
      </c>
      <c r="BE5" s="28" t="inlineStr">
        <is>
          <t>Apr 2031</t>
        </is>
      </c>
      <c r="BF5" s="28" t="inlineStr">
        <is>
          <t>May 2031</t>
        </is>
      </c>
      <c r="BG5" s="28" t="inlineStr">
        <is>
          <t>Jun 2031</t>
        </is>
      </c>
      <c r="BH5" s="28" t="inlineStr">
        <is>
          <t>Jul 2031</t>
        </is>
      </c>
      <c r="BI5" s="28" t="inlineStr">
        <is>
          <t>Aug 2031</t>
        </is>
      </c>
      <c r="BJ5" s="28" t="inlineStr">
        <is>
          <t>Sep 2031</t>
        </is>
      </c>
      <c r="BK5" s="28" t="inlineStr">
        <is>
          <t>Oct 2031</t>
        </is>
      </c>
    </row>
    <row r="6">
      <c r="A6" s="4" t="inlineStr">
        <is>
          <t>Model year</t>
        </is>
      </c>
      <c r="B6" s="2" t="n"/>
      <c r="C6" s="2" t="n"/>
      <c r="D6" s="14">
        <f>INT((D$4-1)/12)+1</f>
        <v/>
      </c>
      <c r="E6" s="14">
        <f>INT((E$4-1)/12)+1</f>
        <v/>
      </c>
      <c r="F6" s="14">
        <f>INT((F$4-1)/12)+1</f>
        <v/>
      </c>
      <c r="G6" s="14">
        <f>INT((G$4-1)/12)+1</f>
        <v/>
      </c>
      <c r="H6" s="14">
        <f>INT((H$4-1)/12)+1</f>
        <v/>
      </c>
      <c r="I6" s="14">
        <f>INT((I$4-1)/12)+1</f>
        <v/>
      </c>
      <c r="J6" s="14">
        <f>INT((J$4-1)/12)+1</f>
        <v/>
      </c>
      <c r="K6" s="14">
        <f>INT((K$4-1)/12)+1</f>
        <v/>
      </c>
      <c r="L6" s="14">
        <f>INT((L$4-1)/12)+1</f>
        <v/>
      </c>
      <c r="M6" s="14">
        <f>INT((M$4-1)/12)+1</f>
        <v/>
      </c>
      <c r="N6" s="14">
        <f>INT((N$4-1)/12)+1</f>
        <v/>
      </c>
      <c r="O6" s="14">
        <f>INT((O$4-1)/12)+1</f>
        <v/>
      </c>
      <c r="P6" s="14">
        <f>INT((P$4-1)/12)+1</f>
        <v/>
      </c>
      <c r="Q6" s="14">
        <f>INT((Q$4-1)/12)+1</f>
        <v/>
      </c>
      <c r="R6" s="14">
        <f>INT((R$4-1)/12)+1</f>
        <v/>
      </c>
      <c r="S6" s="14">
        <f>INT((S$4-1)/12)+1</f>
        <v/>
      </c>
      <c r="T6" s="14">
        <f>INT((T$4-1)/12)+1</f>
        <v/>
      </c>
      <c r="U6" s="14">
        <f>INT((U$4-1)/12)+1</f>
        <v/>
      </c>
      <c r="V6" s="14">
        <f>INT((V$4-1)/12)+1</f>
        <v/>
      </c>
      <c r="W6" s="14">
        <f>INT((W$4-1)/12)+1</f>
        <v/>
      </c>
      <c r="X6" s="14">
        <f>INT((X$4-1)/12)+1</f>
        <v/>
      </c>
      <c r="Y6" s="14">
        <f>INT((Y$4-1)/12)+1</f>
        <v/>
      </c>
      <c r="Z6" s="14">
        <f>INT((Z$4-1)/12)+1</f>
        <v/>
      </c>
      <c r="AA6" s="14">
        <f>INT((AA$4-1)/12)+1</f>
        <v/>
      </c>
      <c r="AB6" s="14">
        <f>INT((AB$4-1)/12)+1</f>
        <v/>
      </c>
      <c r="AC6" s="14">
        <f>INT((AC$4-1)/12)+1</f>
        <v/>
      </c>
      <c r="AD6" s="14">
        <f>INT((AD$4-1)/12)+1</f>
        <v/>
      </c>
      <c r="AE6" s="14">
        <f>INT((AE$4-1)/12)+1</f>
        <v/>
      </c>
      <c r="AF6" s="14">
        <f>INT((AF$4-1)/12)+1</f>
        <v/>
      </c>
      <c r="AG6" s="14">
        <f>INT((AG$4-1)/12)+1</f>
        <v/>
      </c>
      <c r="AH6" s="14">
        <f>INT((AH$4-1)/12)+1</f>
        <v/>
      </c>
      <c r="AI6" s="14">
        <f>INT((AI$4-1)/12)+1</f>
        <v/>
      </c>
      <c r="AJ6" s="14">
        <f>INT((AJ$4-1)/12)+1</f>
        <v/>
      </c>
      <c r="AK6" s="14">
        <f>INT((AK$4-1)/12)+1</f>
        <v/>
      </c>
      <c r="AL6" s="14">
        <f>INT((AL$4-1)/12)+1</f>
        <v/>
      </c>
      <c r="AM6" s="14">
        <f>INT((AM$4-1)/12)+1</f>
        <v/>
      </c>
      <c r="AN6" s="14">
        <f>INT((AN$4-1)/12)+1</f>
        <v/>
      </c>
      <c r="AO6" s="14">
        <f>INT((AO$4-1)/12)+1</f>
        <v/>
      </c>
      <c r="AP6" s="14">
        <f>INT((AP$4-1)/12)+1</f>
        <v/>
      </c>
      <c r="AQ6" s="14">
        <f>INT((AQ$4-1)/12)+1</f>
        <v/>
      </c>
      <c r="AR6" s="14">
        <f>INT((AR$4-1)/12)+1</f>
        <v/>
      </c>
      <c r="AS6" s="14">
        <f>INT((AS$4-1)/12)+1</f>
        <v/>
      </c>
      <c r="AT6" s="14">
        <f>INT((AT$4-1)/12)+1</f>
        <v/>
      </c>
      <c r="AU6" s="14">
        <f>INT((AU$4-1)/12)+1</f>
        <v/>
      </c>
      <c r="AV6" s="14">
        <f>INT((AV$4-1)/12)+1</f>
        <v/>
      </c>
      <c r="AW6" s="14">
        <f>INT((AW$4-1)/12)+1</f>
        <v/>
      </c>
      <c r="AX6" s="14">
        <f>INT((AX$4-1)/12)+1</f>
        <v/>
      </c>
      <c r="AY6" s="14">
        <f>INT((AY$4-1)/12)+1</f>
        <v/>
      </c>
      <c r="AZ6" s="14">
        <f>INT((AZ$4-1)/12)+1</f>
        <v/>
      </c>
      <c r="BA6" s="14">
        <f>INT((BA$4-1)/12)+1</f>
        <v/>
      </c>
      <c r="BB6" s="14">
        <f>INT((BB$4-1)/12)+1</f>
        <v/>
      </c>
      <c r="BC6" s="14">
        <f>INT((BC$4-1)/12)+1</f>
        <v/>
      </c>
      <c r="BD6" s="14">
        <f>INT((BD$4-1)/12)+1</f>
        <v/>
      </c>
      <c r="BE6" s="14">
        <f>INT((BE$4-1)/12)+1</f>
        <v/>
      </c>
      <c r="BF6" s="14">
        <f>INT((BF$4-1)/12)+1</f>
        <v/>
      </c>
      <c r="BG6" s="14">
        <f>INT((BG$4-1)/12)+1</f>
        <v/>
      </c>
      <c r="BH6" s="14">
        <f>INT((BH$4-1)/12)+1</f>
        <v/>
      </c>
      <c r="BI6" s="14">
        <f>INT((BI$4-1)/12)+1</f>
        <v/>
      </c>
      <c r="BJ6" s="14">
        <f>INT((BJ$4-1)/12)+1</f>
        <v/>
      </c>
      <c r="BK6" s="14">
        <f>INT((BK$4-1)/12)+1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</row>
    <row r="8">
      <c r="A8" s="9" t="inlineStr">
        <is>
          <t>EBITDA</t>
        </is>
      </c>
      <c r="B8" s="3" t="inlineStr"/>
      <c r="C8" s="2" t="n"/>
      <c r="D8" s="24">
        <f>'P&amp;L'!D23</f>
        <v/>
      </c>
      <c r="E8" s="24">
        <f>'P&amp;L'!E23</f>
        <v/>
      </c>
      <c r="F8" s="24">
        <f>'P&amp;L'!F23</f>
        <v/>
      </c>
      <c r="G8" s="24">
        <f>'P&amp;L'!G23</f>
        <v/>
      </c>
      <c r="H8" s="24">
        <f>'P&amp;L'!H23</f>
        <v/>
      </c>
      <c r="I8" s="24">
        <f>'P&amp;L'!I23</f>
        <v/>
      </c>
      <c r="J8" s="24">
        <f>'P&amp;L'!J23</f>
        <v/>
      </c>
      <c r="K8" s="24">
        <f>'P&amp;L'!K23</f>
        <v/>
      </c>
      <c r="L8" s="24">
        <f>'P&amp;L'!L23</f>
        <v/>
      </c>
      <c r="M8" s="24">
        <f>'P&amp;L'!M23</f>
        <v/>
      </c>
      <c r="N8" s="24">
        <f>'P&amp;L'!N23</f>
        <v/>
      </c>
      <c r="O8" s="24">
        <f>'P&amp;L'!O23</f>
        <v/>
      </c>
      <c r="P8" s="24">
        <f>'P&amp;L'!P23</f>
        <v/>
      </c>
      <c r="Q8" s="24">
        <f>'P&amp;L'!Q23</f>
        <v/>
      </c>
      <c r="R8" s="24">
        <f>'P&amp;L'!R23</f>
        <v/>
      </c>
      <c r="S8" s="24">
        <f>'P&amp;L'!S23</f>
        <v/>
      </c>
      <c r="T8" s="24">
        <f>'P&amp;L'!T23</f>
        <v/>
      </c>
      <c r="U8" s="24">
        <f>'P&amp;L'!U23</f>
        <v/>
      </c>
      <c r="V8" s="24">
        <f>'P&amp;L'!V23</f>
        <v/>
      </c>
      <c r="W8" s="24">
        <f>'P&amp;L'!W23</f>
        <v/>
      </c>
      <c r="X8" s="24">
        <f>'P&amp;L'!X23</f>
        <v/>
      </c>
      <c r="Y8" s="24">
        <f>'P&amp;L'!Y23</f>
        <v/>
      </c>
      <c r="Z8" s="24">
        <f>'P&amp;L'!Z23</f>
        <v/>
      </c>
      <c r="AA8" s="24">
        <f>'P&amp;L'!AA23</f>
        <v/>
      </c>
      <c r="AB8" s="24">
        <f>'P&amp;L'!AB23</f>
        <v/>
      </c>
      <c r="AC8" s="24">
        <f>'P&amp;L'!AC23</f>
        <v/>
      </c>
      <c r="AD8" s="24">
        <f>'P&amp;L'!AD23</f>
        <v/>
      </c>
      <c r="AE8" s="24">
        <f>'P&amp;L'!AE23</f>
        <v/>
      </c>
      <c r="AF8" s="24">
        <f>'P&amp;L'!AF23</f>
        <v/>
      </c>
      <c r="AG8" s="24">
        <f>'P&amp;L'!AG23</f>
        <v/>
      </c>
      <c r="AH8" s="24">
        <f>'P&amp;L'!AH23</f>
        <v/>
      </c>
      <c r="AI8" s="24">
        <f>'P&amp;L'!AI23</f>
        <v/>
      </c>
      <c r="AJ8" s="24">
        <f>'P&amp;L'!AJ23</f>
        <v/>
      </c>
      <c r="AK8" s="24">
        <f>'P&amp;L'!AK23</f>
        <v/>
      </c>
      <c r="AL8" s="24">
        <f>'P&amp;L'!AL23</f>
        <v/>
      </c>
      <c r="AM8" s="24">
        <f>'P&amp;L'!AM23</f>
        <v/>
      </c>
      <c r="AN8" s="24">
        <f>'P&amp;L'!AN23</f>
        <v/>
      </c>
      <c r="AO8" s="24">
        <f>'P&amp;L'!AO23</f>
        <v/>
      </c>
      <c r="AP8" s="24">
        <f>'P&amp;L'!AP23</f>
        <v/>
      </c>
      <c r="AQ8" s="24">
        <f>'P&amp;L'!AQ23</f>
        <v/>
      </c>
      <c r="AR8" s="24">
        <f>'P&amp;L'!AR23</f>
        <v/>
      </c>
      <c r="AS8" s="24">
        <f>'P&amp;L'!AS23</f>
        <v/>
      </c>
      <c r="AT8" s="24">
        <f>'P&amp;L'!AT23</f>
        <v/>
      </c>
      <c r="AU8" s="24">
        <f>'P&amp;L'!AU23</f>
        <v/>
      </c>
      <c r="AV8" s="24">
        <f>'P&amp;L'!AV23</f>
        <v/>
      </c>
      <c r="AW8" s="24">
        <f>'P&amp;L'!AW23</f>
        <v/>
      </c>
      <c r="AX8" s="24">
        <f>'P&amp;L'!AX23</f>
        <v/>
      </c>
      <c r="AY8" s="24">
        <f>'P&amp;L'!AY23</f>
        <v/>
      </c>
      <c r="AZ8" s="24">
        <f>'P&amp;L'!AZ23</f>
        <v/>
      </c>
      <c r="BA8" s="24">
        <f>'P&amp;L'!BA23</f>
        <v/>
      </c>
      <c r="BB8" s="24">
        <f>'P&amp;L'!BB23</f>
        <v/>
      </c>
      <c r="BC8" s="24">
        <f>'P&amp;L'!BC23</f>
        <v/>
      </c>
      <c r="BD8" s="24">
        <f>'P&amp;L'!BD23</f>
        <v/>
      </c>
      <c r="BE8" s="24">
        <f>'P&amp;L'!BE23</f>
        <v/>
      </c>
      <c r="BF8" s="24">
        <f>'P&amp;L'!BF23</f>
        <v/>
      </c>
      <c r="BG8" s="24">
        <f>'P&amp;L'!BG23</f>
        <v/>
      </c>
      <c r="BH8" s="24">
        <f>'P&amp;L'!BH23</f>
        <v/>
      </c>
      <c r="BI8" s="24">
        <f>'P&amp;L'!BI23</f>
        <v/>
      </c>
      <c r="BJ8" s="24">
        <f>'P&amp;L'!BJ23</f>
        <v/>
      </c>
      <c r="BK8" s="24">
        <f>'P&amp;L'!BK23</f>
        <v/>
      </c>
    </row>
    <row r="9">
      <c r="A9" s="14" t="inlineStr">
        <is>
          <t>Add back leases charged</t>
        </is>
      </c>
      <c r="B9" s="3" t="inlineStr"/>
      <c r="C9" s="2" t="n"/>
      <c r="D9" s="24">
        <f>'Costs'!D38</f>
        <v/>
      </c>
      <c r="E9" s="24">
        <f>'Costs'!E38</f>
        <v/>
      </c>
      <c r="F9" s="24">
        <f>'Costs'!F38</f>
        <v/>
      </c>
      <c r="G9" s="24">
        <f>'Costs'!G38</f>
        <v/>
      </c>
      <c r="H9" s="24">
        <f>'Costs'!H38</f>
        <v/>
      </c>
      <c r="I9" s="24">
        <f>'Costs'!I38</f>
        <v/>
      </c>
      <c r="J9" s="24">
        <f>'Costs'!J38</f>
        <v/>
      </c>
      <c r="K9" s="24">
        <f>'Costs'!K38</f>
        <v/>
      </c>
      <c r="L9" s="24">
        <f>'Costs'!L38</f>
        <v/>
      </c>
      <c r="M9" s="24">
        <f>'Costs'!M38</f>
        <v/>
      </c>
      <c r="N9" s="24">
        <f>'Costs'!N38</f>
        <v/>
      </c>
      <c r="O9" s="24">
        <f>'Costs'!O38</f>
        <v/>
      </c>
      <c r="P9" s="24">
        <f>'Costs'!P38</f>
        <v/>
      </c>
      <c r="Q9" s="24">
        <f>'Costs'!Q38</f>
        <v/>
      </c>
      <c r="R9" s="24">
        <f>'Costs'!R38</f>
        <v/>
      </c>
      <c r="S9" s="24">
        <f>'Costs'!S38</f>
        <v/>
      </c>
      <c r="T9" s="24">
        <f>'Costs'!T38</f>
        <v/>
      </c>
      <c r="U9" s="24">
        <f>'Costs'!U38</f>
        <v/>
      </c>
      <c r="V9" s="24">
        <f>'Costs'!V38</f>
        <v/>
      </c>
      <c r="W9" s="24">
        <f>'Costs'!W38</f>
        <v/>
      </c>
      <c r="X9" s="24">
        <f>'Costs'!X38</f>
        <v/>
      </c>
      <c r="Y9" s="24">
        <f>'Costs'!Y38</f>
        <v/>
      </c>
      <c r="Z9" s="24">
        <f>'Costs'!Z38</f>
        <v/>
      </c>
      <c r="AA9" s="24">
        <f>'Costs'!AA38</f>
        <v/>
      </c>
      <c r="AB9" s="24">
        <f>'Costs'!AB38</f>
        <v/>
      </c>
      <c r="AC9" s="24">
        <f>'Costs'!AC38</f>
        <v/>
      </c>
      <c r="AD9" s="24">
        <f>'Costs'!AD38</f>
        <v/>
      </c>
      <c r="AE9" s="24">
        <f>'Costs'!AE38</f>
        <v/>
      </c>
      <c r="AF9" s="24">
        <f>'Costs'!AF38</f>
        <v/>
      </c>
      <c r="AG9" s="24">
        <f>'Costs'!AG38</f>
        <v/>
      </c>
      <c r="AH9" s="24">
        <f>'Costs'!AH38</f>
        <v/>
      </c>
      <c r="AI9" s="24">
        <f>'Costs'!AI38</f>
        <v/>
      </c>
      <c r="AJ9" s="24">
        <f>'Costs'!AJ38</f>
        <v/>
      </c>
      <c r="AK9" s="24">
        <f>'Costs'!AK38</f>
        <v/>
      </c>
      <c r="AL9" s="24">
        <f>'Costs'!AL38</f>
        <v/>
      </c>
      <c r="AM9" s="24">
        <f>'Costs'!AM38</f>
        <v/>
      </c>
      <c r="AN9" s="24">
        <f>'Costs'!AN38</f>
        <v/>
      </c>
      <c r="AO9" s="24">
        <f>'Costs'!AO38</f>
        <v/>
      </c>
      <c r="AP9" s="24">
        <f>'Costs'!AP38</f>
        <v/>
      </c>
      <c r="AQ9" s="24">
        <f>'Costs'!AQ38</f>
        <v/>
      </c>
      <c r="AR9" s="24">
        <f>'Costs'!AR38</f>
        <v/>
      </c>
      <c r="AS9" s="24">
        <f>'Costs'!AS38</f>
        <v/>
      </c>
      <c r="AT9" s="24">
        <f>'Costs'!AT38</f>
        <v/>
      </c>
      <c r="AU9" s="24">
        <f>'Costs'!AU38</f>
        <v/>
      </c>
      <c r="AV9" s="24">
        <f>'Costs'!AV38</f>
        <v/>
      </c>
      <c r="AW9" s="24">
        <f>'Costs'!AW38</f>
        <v/>
      </c>
      <c r="AX9" s="24">
        <f>'Costs'!AX38</f>
        <v/>
      </c>
      <c r="AY9" s="24">
        <f>'Costs'!AY38</f>
        <v/>
      </c>
      <c r="AZ9" s="24">
        <f>'Costs'!AZ38</f>
        <v/>
      </c>
      <c r="BA9" s="24">
        <f>'Costs'!BA38</f>
        <v/>
      </c>
      <c r="BB9" s="24">
        <f>'Costs'!BB38</f>
        <v/>
      </c>
      <c r="BC9" s="24">
        <f>'Costs'!BC38</f>
        <v/>
      </c>
      <c r="BD9" s="24">
        <f>'Costs'!BD38</f>
        <v/>
      </c>
      <c r="BE9" s="24">
        <f>'Costs'!BE38</f>
        <v/>
      </c>
      <c r="BF9" s="24">
        <f>'Costs'!BF38</f>
        <v/>
      </c>
      <c r="BG9" s="24">
        <f>'Costs'!BG38</f>
        <v/>
      </c>
      <c r="BH9" s="24">
        <f>'Costs'!BH38</f>
        <v/>
      </c>
      <c r="BI9" s="24">
        <f>'Costs'!BI38</f>
        <v/>
      </c>
      <c r="BJ9" s="24">
        <f>'Costs'!BJ38</f>
        <v/>
      </c>
      <c r="BK9" s="24">
        <f>'Costs'!BK38</f>
        <v/>
      </c>
    </row>
    <row r="10">
      <c r="A10" s="12" t="inlineStr">
        <is>
          <t>Leases paid a year ahead</t>
        </is>
      </c>
      <c r="B10" s="13" t="n"/>
      <c r="C10" s="1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</row>
    <row r="11">
      <c r="A11" s="14" t="inlineStr">
        <is>
          <t>Residence one building</t>
        </is>
      </c>
      <c r="B11" s="3" t="inlineStr"/>
      <c r="C11" s="2" t="n"/>
      <c r="D11" s="24">
        <f>-IF(AND(D$4&gt;=RES1_EFF-LEASE_LEAD,MOD(D$4-(RES1_EFF-LEASE_LEAD),12)=0),RES_LEASE_YR,0)</f>
        <v/>
      </c>
      <c r="E11" s="24">
        <f>-IF(AND(E$4&gt;=RES1_EFF-LEASE_LEAD,MOD(E$4-(RES1_EFF-LEASE_LEAD),12)=0),RES_LEASE_YR,0)</f>
        <v/>
      </c>
      <c r="F11" s="24">
        <f>-IF(AND(F$4&gt;=RES1_EFF-LEASE_LEAD,MOD(F$4-(RES1_EFF-LEASE_LEAD),12)=0),RES_LEASE_YR,0)</f>
        <v/>
      </c>
      <c r="G11" s="24">
        <f>-IF(AND(G$4&gt;=RES1_EFF-LEASE_LEAD,MOD(G$4-(RES1_EFF-LEASE_LEAD),12)=0),RES_LEASE_YR,0)</f>
        <v/>
      </c>
      <c r="H11" s="24">
        <f>-IF(AND(H$4&gt;=RES1_EFF-LEASE_LEAD,MOD(H$4-(RES1_EFF-LEASE_LEAD),12)=0),RES_LEASE_YR,0)</f>
        <v/>
      </c>
      <c r="I11" s="24">
        <f>-IF(AND(I$4&gt;=RES1_EFF-LEASE_LEAD,MOD(I$4-(RES1_EFF-LEASE_LEAD),12)=0),RES_LEASE_YR,0)</f>
        <v/>
      </c>
      <c r="J11" s="24">
        <f>-IF(AND(J$4&gt;=RES1_EFF-LEASE_LEAD,MOD(J$4-(RES1_EFF-LEASE_LEAD),12)=0),RES_LEASE_YR,0)</f>
        <v/>
      </c>
      <c r="K11" s="24">
        <f>-IF(AND(K$4&gt;=RES1_EFF-LEASE_LEAD,MOD(K$4-(RES1_EFF-LEASE_LEAD),12)=0),RES_LEASE_YR,0)</f>
        <v/>
      </c>
      <c r="L11" s="24">
        <f>-IF(AND(L$4&gt;=RES1_EFF-LEASE_LEAD,MOD(L$4-(RES1_EFF-LEASE_LEAD),12)=0),RES_LEASE_YR,0)</f>
        <v/>
      </c>
      <c r="M11" s="24">
        <f>-IF(AND(M$4&gt;=RES1_EFF-LEASE_LEAD,MOD(M$4-(RES1_EFF-LEASE_LEAD),12)=0),RES_LEASE_YR,0)</f>
        <v/>
      </c>
      <c r="N11" s="24">
        <f>-IF(AND(N$4&gt;=RES1_EFF-LEASE_LEAD,MOD(N$4-(RES1_EFF-LEASE_LEAD),12)=0),RES_LEASE_YR,0)</f>
        <v/>
      </c>
      <c r="O11" s="24">
        <f>-IF(AND(O$4&gt;=RES1_EFF-LEASE_LEAD,MOD(O$4-(RES1_EFF-LEASE_LEAD),12)=0),RES_LEASE_YR,0)</f>
        <v/>
      </c>
      <c r="P11" s="24">
        <f>-IF(AND(P$4&gt;=RES1_EFF-LEASE_LEAD,MOD(P$4-(RES1_EFF-LEASE_LEAD),12)=0),RES_LEASE_YR,0)</f>
        <v/>
      </c>
      <c r="Q11" s="24">
        <f>-IF(AND(Q$4&gt;=RES1_EFF-LEASE_LEAD,MOD(Q$4-(RES1_EFF-LEASE_LEAD),12)=0),RES_LEASE_YR,0)</f>
        <v/>
      </c>
      <c r="R11" s="24">
        <f>-IF(AND(R$4&gt;=RES1_EFF-LEASE_LEAD,MOD(R$4-(RES1_EFF-LEASE_LEAD),12)=0),RES_LEASE_YR,0)</f>
        <v/>
      </c>
      <c r="S11" s="24">
        <f>-IF(AND(S$4&gt;=RES1_EFF-LEASE_LEAD,MOD(S$4-(RES1_EFF-LEASE_LEAD),12)=0),RES_LEASE_YR,0)</f>
        <v/>
      </c>
      <c r="T11" s="24">
        <f>-IF(AND(T$4&gt;=RES1_EFF-LEASE_LEAD,MOD(T$4-(RES1_EFF-LEASE_LEAD),12)=0),RES_LEASE_YR,0)</f>
        <v/>
      </c>
      <c r="U11" s="24">
        <f>-IF(AND(U$4&gt;=RES1_EFF-LEASE_LEAD,MOD(U$4-(RES1_EFF-LEASE_LEAD),12)=0),RES_LEASE_YR,0)</f>
        <v/>
      </c>
      <c r="V11" s="24">
        <f>-IF(AND(V$4&gt;=RES1_EFF-LEASE_LEAD,MOD(V$4-(RES1_EFF-LEASE_LEAD),12)=0),RES_LEASE_YR,0)</f>
        <v/>
      </c>
      <c r="W11" s="24">
        <f>-IF(AND(W$4&gt;=RES1_EFF-LEASE_LEAD,MOD(W$4-(RES1_EFF-LEASE_LEAD),12)=0),RES_LEASE_YR,0)</f>
        <v/>
      </c>
      <c r="X11" s="24">
        <f>-IF(AND(X$4&gt;=RES1_EFF-LEASE_LEAD,MOD(X$4-(RES1_EFF-LEASE_LEAD),12)=0),RES_LEASE_YR,0)</f>
        <v/>
      </c>
      <c r="Y11" s="24">
        <f>-IF(AND(Y$4&gt;=RES1_EFF-LEASE_LEAD,MOD(Y$4-(RES1_EFF-LEASE_LEAD),12)=0),RES_LEASE_YR,0)</f>
        <v/>
      </c>
      <c r="Z11" s="24">
        <f>-IF(AND(Z$4&gt;=RES1_EFF-LEASE_LEAD,MOD(Z$4-(RES1_EFF-LEASE_LEAD),12)=0),RES_LEASE_YR,0)</f>
        <v/>
      </c>
      <c r="AA11" s="24">
        <f>-IF(AND(AA$4&gt;=RES1_EFF-LEASE_LEAD,MOD(AA$4-(RES1_EFF-LEASE_LEAD),12)=0),RES_LEASE_YR,0)</f>
        <v/>
      </c>
      <c r="AB11" s="24">
        <f>-IF(AND(AB$4&gt;=RES1_EFF-LEASE_LEAD,MOD(AB$4-(RES1_EFF-LEASE_LEAD),12)=0),RES_LEASE_YR,0)</f>
        <v/>
      </c>
      <c r="AC11" s="24">
        <f>-IF(AND(AC$4&gt;=RES1_EFF-LEASE_LEAD,MOD(AC$4-(RES1_EFF-LEASE_LEAD),12)=0),RES_LEASE_YR,0)</f>
        <v/>
      </c>
      <c r="AD11" s="24">
        <f>-IF(AND(AD$4&gt;=RES1_EFF-LEASE_LEAD,MOD(AD$4-(RES1_EFF-LEASE_LEAD),12)=0),RES_LEASE_YR,0)</f>
        <v/>
      </c>
      <c r="AE11" s="24">
        <f>-IF(AND(AE$4&gt;=RES1_EFF-LEASE_LEAD,MOD(AE$4-(RES1_EFF-LEASE_LEAD),12)=0),RES_LEASE_YR,0)</f>
        <v/>
      </c>
      <c r="AF11" s="24">
        <f>-IF(AND(AF$4&gt;=RES1_EFF-LEASE_LEAD,MOD(AF$4-(RES1_EFF-LEASE_LEAD),12)=0),RES_LEASE_YR,0)</f>
        <v/>
      </c>
      <c r="AG11" s="24">
        <f>-IF(AND(AG$4&gt;=RES1_EFF-LEASE_LEAD,MOD(AG$4-(RES1_EFF-LEASE_LEAD),12)=0),RES_LEASE_YR,0)</f>
        <v/>
      </c>
      <c r="AH11" s="24">
        <f>-IF(AND(AH$4&gt;=RES1_EFF-LEASE_LEAD,MOD(AH$4-(RES1_EFF-LEASE_LEAD),12)=0),RES_LEASE_YR,0)</f>
        <v/>
      </c>
      <c r="AI11" s="24">
        <f>-IF(AND(AI$4&gt;=RES1_EFF-LEASE_LEAD,MOD(AI$4-(RES1_EFF-LEASE_LEAD),12)=0),RES_LEASE_YR,0)</f>
        <v/>
      </c>
      <c r="AJ11" s="24">
        <f>-IF(AND(AJ$4&gt;=RES1_EFF-LEASE_LEAD,MOD(AJ$4-(RES1_EFF-LEASE_LEAD),12)=0),RES_LEASE_YR,0)</f>
        <v/>
      </c>
      <c r="AK11" s="24">
        <f>-IF(AND(AK$4&gt;=RES1_EFF-LEASE_LEAD,MOD(AK$4-(RES1_EFF-LEASE_LEAD),12)=0),RES_LEASE_YR,0)</f>
        <v/>
      </c>
      <c r="AL11" s="24">
        <f>-IF(AND(AL$4&gt;=RES1_EFF-LEASE_LEAD,MOD(AL$4-(RES1_EFF-LEASE_LEAD),12)=0),RES_LEASE_YR,0)</f>
        <v/>
      </c>
      <c r="AM11" s="24">
        <f>-IF(AND(AM$4&gt;=RES1_EFF-LEASE_LEAD,MOD(AM$4-(RES1_EFF-LEASE_LEAD),12)=0),RES_LEASE_YR,0)</f>
        <v/>
      </c>
      <c r="AN11" s="24">
        <f>-IF(AND(AN$4&gt;=RES1_EFF-LEASE_LEAD,MOD(AN$4-(RES1_EFF-LEASE_LEAD),12)=0),RES_LEASE_YR,0)</f>
        <v/>
      </c>
      <c r="AO11" s="24">
        <f>-IF(AND(AO$4&gt;=RES1_EFF-LEASE_LEAD,MOD(AO$4-(RES1_EFF-LEASE_LEAD),12)=0),RES_LEASE_YR,0)</f>
        <v/>
      </c>
      <c r="AP11" s="24">
        <f>-IF(AND(AP$4&gt;=RES1_EFF-LEASE_LEAD,MOD(AP$4-(RES1_EFF-LEASE_LEAD),12)=0),RES_LEASE_YR,0)</f>
        <v/>
      </c>
      <c r="AQ11" s="24">
        <f>-IF(AND(AQ$4&gt;=RES1_EFF-LEASE_LEAD,MOD(AQ$4-(RES1_EFF-LEASE_LEAD),12)=0),RES_LEASE_YR,0)</f>
        <v/>
      </c>
      <c r="AR11" s="24">
        <f>-IF(AND(AR$4&gt;=RES1_EFF-LEASE_LEAD,MOD(AR$4-(RES1_EFF-LEASE_LEAD),12)=0),RES_LEASE_YR,0)</f>
        <v/>
      </c>
      <c r="AS11" s="24">
        <f>-IF(AND(AS$4&gt;=RES1_EFF-LEASE_LEAD,MOD(AS$4-(RES1_EFF-LEASE_LEAD),12)=0),RES_LEASE_YR,0)</f>
        <v/>
      </c>
      <c r="AT11" s="24">
        <f>-IF(AND(AT$4&gt;=RES1_EFF-LEASE_LEAD,MOD(AT$4-(RES1_EFF-LEASE_LEAD),12)=0),RES_LEASE_YR,0)</f>
        <v/>
      </c>
      <c r="AU11" s="24">
        <f>-IF(AND(AU$4&gt;=RES1_EFF-LEASE_LEAD,MOD(AU$4-(RES1_EFF-LEASE_LEAD),12)=0),RES_LEASE_YR,0)</f>
        <v/>
      </c>
      <c r="AV11" s="24">
        <f>-IF(AND(AV$4&gt;=RES1_EFF-LEASE_LEAD,MOD(AV$4-(RES1_EFF-LEASE_LEAD),12)=0),RES_LEASE_YR,0)</f>
        <v/>
      </c>
      <c r="AW11" s="24">
        <f>-IF(AND(AW$4&gt;=RES1_EFF-LEASE_LEAD,MOD(AW$4-(RES1_EFF-LEASE_LEAD),12)=0),RES_LEASE_YR,0)</f>
        <v/>
      </c>
      <c r="AX11" s="24">
        <f>-IF(AND(AX$4&gt;=RES1_EFF-LEASE_LEAD,MOD(AX$4-(RES1_EFF-LEASE_LEAD),12)=0),RES_LEASE_YR,0)</f>
        <v/>
      </c>
      <c r="AY11" s="24">
        <f>-IF(AND(AY$4&gt;=RES1_EFF-LEASE_LEAD,MOD(AY$4-(RES1_EFF-LEASE_LEAD),12)=0),RES_LEASE_YR,0)</f>
        <v/>
      </c>
      <c r="AZ11" s="24">
        <f>-IF(AND(AZ$4&gt;=RES1_EFF-LEASE_LEAD,MOD(AZ$4-(RES1_EFF-LEASE_LEAD),12)=0),RES_LEASE_YR,0)</f>
        <v/>
      </c>
      <c r="BA11" s="24">
        <f>-IF(AND(BA$4&gt;=RES1_EFF-LEASE_LEAD,MOD(BA$4-(RES1_EFF-LEASE_LEAD),12)=0),RES_LEASE_YR,0)</f>
        <v/>
      </c>
      <c r="BB11" s="24">
        <f>-IF(AND(BB$4&gt;=RES1_EFF-LEASE_LEAD,MOD(BB$4-(RES1_EFF-LEASE_LEAD),12)=0),RES_LEASE_YR,0)</f>
        <v/>
      </c>
      <c r="BC11" s="24">
        <f>-IF(AND(BC$4&gt;=RES1_EFF-LEASE_LEAD,MOD(BC$4-(RES1_EFF-LEASE_LEAD),12)=0),RES_LEASE_YR,0)</f>
        <v/>
      </c>
      <c r="BD11" s="24">
        <f>-IF(AND(BD$4&gt;=RES1_EFF-LEASE_LEAD,MOD(BD$4-(RES1_EFF-LEASE_LEAD),12)=0),RES_LEASE_YR,0)</f>
        <v/>
      </c>
      <c r="BE11" s="24">
        <f>-IF(AND(BE$4&gt;=RES1_EFF-LEASE_LEAD,MOD(BE$4-(RES1_EFF-LEASE_LEAD),12)=0),RES_LEASE_YR,0)</f>
        <v/>
      </c>
      <c r="BF11" s="24">
        <f>-IF(AND(BF$4&gt;=RES1_EFF-LEASE_LEAD,MOD(BF$4-(RES1_EFF-LEASE_LEAD),12)=0),RES_LEASE_YR,0)</f>
        <v/>
      </c>
      <c r="BG11" s="24">
        <f>-IF(AND(BG$4&gt;=RES1_EFF-LEASE_LEAD,MOD(BG$4-(RES1_EFF-LEASE_LEAD),12)=0),RES_LEASE_YR,0)</f>
        <v/>
      </c>
      <c r="BH11" s="24">
        <f>-IF(AND(BH$4&gt;=RES1_EFF-LEASE_LEAD,MOD(BH$4-(RES1_EFF-LEASE_LEAD),12)=0),RES_LEASE_YR,0)</f>
        <v/>
      </c>
      <c r="BI11" s="24">
        <f>-IF(AND(BI$4&gt;=RES1_EFF-LEASE_LEAD,MOD(BI$4-(RES1_EFF-LEASE_LEAD),12)=0),RES_LEASE_YR,0)</f>
        <v/>
      </c>
      <c r="BJ11" s="24">
        <f>-IF(AND(BJ$4&gt;=RES1_EFF-LEASE_LEAD,MOD(BJ$4-(RES1_EFF-LEASE_LEAD),12)=0),RES_LEASE_YR,0)</f>
        <v/>
      </c>
      <c r="BK11" s="24">
        <f>-IF(AND(BK$4&gt;=RES1_EFF-LEASE_LEAD,MOD(BK$4-(RES1_EFF-LEASE_LEAD),12)=0),RES_LEASE_YR,0)</f>
        <v/>
      </c>
    </row>
    <row r="12">
      <c r="A12" s="14" t="inlineStr">
        <is>
          <t>Residence two building</t>
        </is>
      </c>
      <c r="B12" s="3" t="inlineStr"/>
      <c r="C12" s="2" t="n"/>
      <c r="D12" s="24">
        <f>-IF(AND(D$4&gt;=RES2_EFF-LEASE_LEAD,MOD(D$4-(RES2_EFF-LEASE_LEAD),12)=0),RES_LEASE_YR,0)</f>
        <v/>
      </c>
      <c r="E12" s="24">
        <f>-IF(AND(E$4&gt;=RES2_EFF-LEASE_LEAD,MOD(E$4-(RES2_EFF-LEASE_LEAD),12)=0),RES_LEASE_YR,0)</f>
        <v/>
      </c>
      <c r="F12" s="24">
        <f>-IF(AND(F$4&gt;=RES2_EFF-LEASE_LEAD,MOD(F$4-(RES2_EFF-LEASE_LEAD),12)=0),RES_LEASE_YR,0)</f>
        <v/>
      </c>
      <c r="G12" s="24">
        <f>-IF(AND(G$4&gt;=RES2_EFF-LEASE_LEAD,MOD(G$4-(RES2_EFF-LEASE_LEAD),12)=0),RES_LEASE_YR,0)</f>
        <v/>
      </c>
      <c r="H12" s="24">
        <f>-IF(AND(H$4&gt;=RES2_EFF-LEASE_LEAD,MOD(H$4-(RES2_EFF-LEASE_LEAD),12)=0),RES_LEASE_YR,0)</f>
        <v/>
      </c>
      <c r="I12" s="24">
        <f>-IF(AND(I$4&gt;=RES2_EFF-LEASE_LEAD,MOD(I$4-(RES2_EFF-LEASE_LEAD),12)=0),RES_LEASE_YR,0)</f>
        <v/>
      </c>
      <c r="J12" s="24">
        <f>-IF(AND(J$4&gt;=RES2_EFF-LEASE_LEAD,MOD(J$4-(RES2_EFF-LEASE_LEAD),12)=0),RES_LEASE_YR,0)</f>
        <v/>
      </c>
      <c r="K12" s="24">
        <f>-IF(AND(K$4&gt;=RES2_EFF-LEASE_LEAD,MOD(K$4-(RES2_EFF-LEASE_LEAD),12)=0),RES_LEASE_YR,0)</f>
        <v/>
      </c>
      <c r="L12" s="24">
        <f>-IF(AND(L$4&gt;=RES2_EFF-LEASE_LEAD,MOD(L$4-(RES2_EFF-LEASE_LEAD),12)=0),RES_LEASE_YR,0)</f>
        <v/>
      </c>
      <c r="M12" s="24">
        <f>-IF(AND(M$4&gt;=RES2_EFF-LEASE_LEAD,MOD(M$4-(RES2_EFF-LEASE_LEAD),12)=0),RES_LEASE_YR,0)</f>
        <v/>
      </c>
      <c r="N12" s="24">
        <f>-IF(AND(N$4&gt;=RES2_EFF-LEASE_LEAD,MOD(N$4-(RES2_EFF-LEASE_LEAD),12)=0),RES_LEASE_YR,0)</f>
        <v/>
      </c>
      <c r="O12" s="24">
        <f>-IF(AND(O$4&gt;=RES2_EFF-LEASE_LEAD,MOD(O$4-(RES2_EFF-LEASE_LEAD),12)=0),RES_LEASE_YR,0)</f>
        <v/>
      </c>
      <c r="P12" s="24">
        <f>-IF(AND(P$4&gt;=RES2_EFF-LEASE_LEAD,MOD(P$4-(RES2_EFF-LEASE_LEAD),12)=0),RES_LEASE_YR,0)</f>
        <v/>
      </c>
      <c r="Q12" s="24">
        <f>-IF(AND(Q$4&gt;=RES2_EFF-LEASE_LEAD,MOD(Q$4-(RES2_EFF-LEASE_LEAD),12)=0),RES_LEASE_YR,0)</f>
        <v/>
      </c>
      <c r="R12" s="24">
        <f>-IF(AND(R$4&gt;=RES2_EFF-LEASE_LEAD,MOD(R$4-(RES2_EFF-LEASE_LEAD),12)=0),RES_LEASE_YR,0)</f>
        <v/>
      </c>
      <c r="S12" s="24">
        <f>-IF(AND(S$4&gt;=RES2_EFF-LEASE_LEAD,MOD(S$4-(RES2_EFF-LEASE_LEAD),12)=0),RES_LEASE_YR,0)</f>
        <v/>
      </c>
      <c r="T12" s="24">
        <f>-IF(AND(T$4&gt;=RES2_EFF-LEASE_LEAD,MOD(T$4-(RES2_EFF-LEASE_LEAD),12)=0),RES_LEASE_YR,0)</f>
        <v/>
      </c>
      <c r="U12" s="24">
        <f>-IF(AND(U$4&gt;=RES2_EFF-LEASE_LEAD,MOD(U$4-(RES2_EFF-LEASE_LEAD),12)=0),RES_LEASE_YR,0)</f>
        <v/>
      </c>
      <c r="V12" s="24">
        <f>-IF(AND(V$4&gt;=RES2_EFF-LEASE_LEAD,MOD(V$4-(RES2_EFF-LEASE_LEAD),12)=0),RES_LEASE_YR,0)</f>
        <v/>
      </c>
      <c r="W12" s="24">
        <f>-IF(AND(W$4&gt;=RES2_EFF-LEASE_LEAD,MOD(W$4-(RES2_EFF-LEASE_LEAD),12)=0),RES_LEASE_YR,0)</f>
        <v/>
      </c>
      <c r="X12" s="24">
        <f>-IF(AND(X$4&gt;=RES2_EFF-LEASE_LEAD,MOD(X$4-(RES2_EFF-LEASE_LEAD),12)=0),RES_LEASE_YR,0)</f>
        <v/>
      </c>
      <c r="Y12" s="24">
        <f>-IF(AND(Y$4&gt;=RES2_EFF-LEASE_LEAD,MOD(Y$4-(RES2_EFF-LEASE_LEAD),12)=0),RES_LEASE_YR,0)</f>
        <v/>
      </c>
      <c r="Z12" s="24">
        <f>-IF(AND(Z$4&gt;=RES2_EFF-LEASE_LEAD,MOD(Z$4-(RES2_EFF-LEASE_LEAD),12)=0),RES_LEASE_YR,0)</f>
        <v/>
      </c>
      <c r="AA12" s="24">
        <f>-IF(AND(AA$4&gt;=RES2_EFF-LEASE_LEAD,MOD(AA$4-(RES2_EFF-LEASE_LEAD),12)=0),RES_LEASE_YR,0)</f>
        <v/>
      </c>
      <c r="AB12" s="24">
        <f>-IF(AND(AB$4&gt;=RES2_EFF-LEASE_LEAD,MOD(AB$4-(RES2_EFF-LEASE_LEAD),12)=0),RES_LEASE_YR,0)</f>
        <v/>
      </c>
      <c r="AC12" s="24">
        <f>-IF(AND(AC$4&gt;=RES2_EFF-LEASE_LEAD,MOD(AC$4-(RES2_EFF-LEASE_LEAD),12)=0),RES_LEASE_YR,0)</f>
        <v/>
      </c>
      <c r="AD12" s="24">
        <f>-IF(AND(AD$4&gt;=RES2_EFF-LEASE_LEAD,MOD(AD$4-(RES2_EFF-LEASE_LEAD),12)=0),RES_LEASE_YR,0)</f>
        <v/>
      </c>
      <c r="AE12" s="24">
        <f>-IF(AND(AE$4&gt;=RES2_EFF-LEASE_LEAD,MOD(AE$4-(RES2_EFF-LEASE_LEAD),12)=0),RES_LEASE_YR,0)</f>
        <v/>
      </c>
      <c r="AF12" s="24">
        <f>-IF(AND(AF$4&gt;=RES2_EFF-LEASE_LEAD,MOD(AF$4-(RES2_EFF-LEASE_LEAD),12)=0),RES_LEASE_YR,0)</f>
        <v/>
      </c>
      <c r="AG12" s="24">
        <f>-IF(AND(AG$4&gt;=RES2_EFF-LEASE_LEAD,MOD(AG$4-(RES2_EFF-LEASE_LEAD),12)=0),RES_LEASE_YR,0)</f>
        <v/>
      </c>
      <c r="AH12" s="24">
        <f>-IF(AND(AH$4&gt;=RES2_EFF-LEASE_LEAD,MOD(AH$4-(RES2_EFF-LEASE_LEAD),12)=0),RES_LEASE_YR,0)</f>
        <v/>
      </c>
      <c r="AI12" s="24">
        <f>-IF(AND(AI$4&gt;=RES2_EFF-LEASE_LEAD,MOD(AI$4-(RES2_EFF-LEASE_LEAD),12)=0),RES_LEASE_YR,0)</f>
        <v/>
      </c>
      <c r="AJ12" s="24">
        <f>-IF(AND(AJ$4&gt;=RES2_EFF-LEASE_LEAD,MOD(AJ$4-(RES2_EFF-LEASE_LEAD),12)=0),RES_LEASE_YR,0)</f>
        <v/>
      </c>
      <c r="AK12" s="24">
        <f>-IF(AND(AK$4&gt;=RES2_EFF-LEASE_LEAD,MOD(AK$4-(RES2_EFF-LEASE_LEAD),12)=0),RES_LEASE_YR,0)</f>
        <v/>
      </c>
      <c r="AL12" s="24">
        <f>-IF(AND(AL$4&gt;=RES2_EFF-LEASE_LEAD,MOD(AL$4-(RES2_EFF-LEASE_LEAD),12)=0),RES_LEASE_YR,0)</f>
        <v/>
      </c>
      <c r="AM12" s="24">
        <f>-IF(AND(AM$4&gt;=RES2_EFF-LEASE_LEAD,MOD(AM$4-(RES2_EFF-LEASE_LEAD),12)=0),RES_LEASE_YR,0)</f>
        <v/>
      </c>
      <c r="AN12" s="24">
        <f>-IF(AND(AN$4&gt;=RES2_EFF-LEASE_LEAD,MOD(AN$4-(RES2_EFF-LEASE_LEAD),12)=0),RES_LEASE_YR,0)</f>
        <v/>
      </c>
      <c r="AO12" s="24">
        <f>-IF(AND(AO$4&gt;=RES2_EFF-LEASE_LEAD,MOD(AO$4-(RES2_EFF-LEASE_LEAD),12)=0),RES_LEASE_YR,0)</f>
        <v/>
      </c>
      <c r="AP12" s="24">
        <f>-IF(AND(AP$4&gt;=RES2_EFF-LEASE_LEAD,MOD(AP$4-(RES2_EFF-LEASE_LEAD),12)=0),RES_LEASE_YR,0)</f>
        <v/>
      </c>
      <c r="AQ12" s="24">
        <f>-IF(AND(AQ$4&gt;=RES2_EFF-LEASE_LEAD,MOD(AQ$4-(RES2_EFF-LEASE_LEAD),12)=0),RES_LEASE_YR,0)</f>
        <v/>
      </c>
      <c r="AR12" s="24">
        <f>-IF(AND(AR$4&gt;=RES2_EFF-LEASE_LEAD,MOD(AR$4-(RES2_EFF-LEASE_LEAD),12)=0),RES_LEASE_YR,0)</f>
        <v/>
      </c>
      <c r="AS12" s="24">
        <f>-IF(AND(AS$4&gt;=RES2_EFF-LEASE_LEAD,MOD(AS$4-(RES2_EFF-LEASE_LEAD),12)=0),RES_LEASE_YR,0)</f>
        <v/>
      </c>
      <c r="AT12" s="24">
        <f>-IF(AND(AT$4&gt;=RES2_EFF-LEASE_LEAD,MOD(AT$4-(RES2_EFF-LEASE_LEAD),12)=0),RES_LEASE_YR,0)</f>
        <v/>
      </c>
      <c r="AU12" s="24">
        <f>-IF(AND(AU$4&gt;=RES2_EFF-LEASE_LEAD,MOD(AU$4-(RES2_EFF-LEASE_LEAD),12)=0),RES_LEASE_YR,0)</f>
        <v/>
      </c>
      <c r="AV12" s="24">
        <f>-IF(AND(AV$4&gt;=RES2_EFF-LEASE_LEAD,MOD(AV$4-(RES2_EFF-LEASE_LEAD),12)=0),RES_LEASE_YR,0)</f>
        <v/>
      </c>
      <c r="AW12" s="24">
        <f>-IF(AND(AW$4&gt;=RES2_EFF-LEASE_LEAD,MOD(AW$4-(RES2_EFF-LEASE_LEAD),12)=0),RES_LEASE_YR,0)</f>
        <v/>
      </c>
      <c r="AX12" s="24">
        <f>-IF(AND(AX$4&gt;=RES2_EFF-LEASE_LEAD,MOD(AX$4-(RES2_EFF-LEASE_LEAD),12)=0),RES_LEASE_YR,0)</f>
        <v/>
      </c>
      <c r="AY12" s="24">
        <f>-IF(AND(AY$4&gt;=RES2_EFF-LEASE_LEAD,MOD(AY$4-(RES2_EFF-LEASE_LEAD),12)=0),RES_LEASE_YR,0)</f>
        <v/>
      </c>
      <c r="AZ12" s="24">
        <f>-IF(AND(AZ$4&gt;=RES2_EFF-LEASE_LEAD,MOD(AZ$4-(RES2_EFF-LEASE_LEAD),12)=0),RES_LEASE_YR,0)</f>
        <v/>
      </c>
      <c r="BA12" s="24">
        <f>-IF(AND(BA$4&gt;=RES2_EFF-LEASE_LEAD,MOD(BA$4-(RES2_EFF-LEASE_LEAD),12)=0),RES_LEASE_YR,0)</f>
        <v/>
      </c>
      <c r="BB12" s="24">
        <f>-IF(AND(BB$4&gt;=RES2_EFF-LEASE_LEAD,MOD(BB$4-(RES2_EFF-LEASE_LEAD),12)=0),RES_LEASE_YR,0)</f>
        <v/>
      </c>
      <c r="BC12" s="24">
        <f>-IF(AND(BC$4&gt;=RES2_EFF-LEASE_LEAD,MOD(BC$4-(RES2_EFF-LEASE_LEAD),12)=0),RES_LEASE_YR,0)</f>
        <v/>
      </c>
      <c r="BD12" s="24">
        <f>-IF(AND(BD$4&gt;=RES2_EFF-LEASE_LEAD,MOD(BD$4-(RES2_EFF-LEASE_LEAD),12)=0),RES_LEASE_YR,0)</f>
        <v/>
      </c>
      <c r="BE12" s="24">
        <f>-IF(AND(BE$4&gt;=RES2_EFF-LEASE_LEAD,MOD(BE$4-(RES2_EFF-LEASE_LEAD),12)=0),RES_LEASE_YR,0)</f>
        <v/>
      </c>
      <c r="BF12" s="24">
        <f>-IF(AND(BF$4&gt;=RES2_EFF-LEASE_LEAD,MOD(BF$4-(RES2_EFF-LEASE_LEAD),12)=0),RES_LEASE_YR,0)</f>
        <v/>
      </c>
      <c r="BG12" s="24">
        <f>-IF(AND(BG$4&gt;=RES2_EFF-LEASE_LEAD,MOD(BG$4-(RES2_EFF-LEASE_LEAD),12)=0),RES_LEASE_YR,0)</f>
        <v/>
      </c>
      <c r="BH12" s="24">
        <f>-IF(AND(BH$4&gt;=RES2_EFF-LEASE_LEAD,MOD(BH$4-(RES2_EFF-LEASE_LEAD),12)=0),RES_LEASE_YR,0)</f>
        <v/>
      </c>
      <c r="BI12" s="24">
        <f>-IF(AND(BI$4&gt;=RES2_EFF-LEASE_LEAD,MOD(BI$4-(RES2_EFF-LEASE_LEAD),12)=0),RES_LEASE_YR,0)</f>
        <v/>
      </c>
      <c r="BJ12" s="24">
        <f>-IF(AND(BJ$4&gt;=RES2_EFF-LEASE_LEAD,MOD(BJ$4-(RES2_EFF-LEASE_LEAD),12)=0),RES_LEASE_YR,0)</f>
        <v/>
      </c>
      <c r="BK12" s="24">
        <f>-IF(AND(BK$4&gt;=RES2_EFF-LEASE_LEAD,MOD(BK$4-(RES2_EFF-LEASE_LEAD),12)=0),RES_LEASE_YR,0)</f>
        <v/>
      </c>
    </row>
    <row r="13">
      <c r="A13" s="14" t="inlineStr">
        <is>
          <t>Mortuary site</t>
        </is>
      </c>
      <c r="B13" s="3" t="inlineStr"/>
      <c r="C13" s="2" t="n"/>
      <c r="D13" s="24">
        <f>-IF(AND(D$4&gt;=MORT_LEASE_FROM,MOD(D$4-MORT_LEASE_FROM,12)=0),MORT_LEASE_YR,0)</f>
        <v/>
      </c>
      <c r="E13" s="24">
        <f>-IF(AND(E$4&gt;=MORT_LEASE_FROM,MOD(E$4-MORT_LEASE_FROM,12)=0),MORT_LEASE_YR,0)</f>
        <v/>
      </c>
      <c r="F13" s="24">
        <f>-IF(AND(F$4&gt;=MORT_LEASE_FROM,MOD(F$4-MORT_LEASE_FROM,12)=0),MORT_LEASE_YR,0)</f>
        <v/>
      </c>
      <c r="G13" s="24">
        <f>-IF(AND(G$4&gt;=MORT_LEASE_FROM,MOD(G$4-MORT_LEASE_FROM,12)=0),MORT_LEASE_YR,0)</f>
        <v/>
      </c>
      <c r="H13" s="24">
        <f>-IF(AND(H$4&gt;=MORT_LEASE_FROM,MOD(H$4-MORT_LEASE_FROM,12)=0),MORT_LEASE_YR,0)</f>
        <v/>
      </c>
      <c r="I13" s="24">
        <f>-IF(AND(I$4&gt;=MORT_LEASE_FROM,MOD(I$4-MORT_LEASE_FROM,12)=0),MORT_LEASE_YR,0)</f>
        <v/>
      </c>
      <c r="J13" s="24">
        <f>-IF(AND(J$4&gt;=MORT_LEASE_FROM,MOD(J$4-MORT_LEASE_FROM,12)=0),MORT_LEASE_YR,0)</f>
        <v/>
      </c>
      <c r="K13" s="24">
        <f>-IF(AND(K$4&gt;=MORT_LEASE_FROM,MOD(K$4-MORT_LEASE_FROM,12)=0),MORT_LEASE_YR,0)</f>
        <v/>
      </c>
      <c r="L13" s="24">
        <f>-IF(AND(L$4&gt;=MORT_LEASE_FROM,MOD(L$4-MORT_LEASE_FROM,12)=0),MORT_LEASE_YR,0)</f>
        <v/>
      </c>
      <c r="M13" s="24">
        <f>-IF(AND(M$4&gt;=MORT_LEASE_FROM,MOD(M$4-MORT_LEASE_FROM,12)=0),MORT_LEASE_YR,0)</f>
        <v/>
      </c>
      <c r="N13" s="24">
        <f>-IF(AND(N$4&gt;=MORT_LEASE_FROM,MOD(N$4-MORT_LEASE_FROM,12)=0),MORT_LEASE_YR,0)</f>
        <v/>
      </c>
      <c r="O13" s="24">
        <f>-IF(AND(O$4&gt;=MORT_LEASE_FROM,MOD(O$4-MORT_LEASE_FROM,12)=0),MORT_LEASE_YR,0)</f>
        <v/>
      </c>
      <c r="P13" s="24">
        <f>-IF(AND(P$4&gt;=MORT_LEASE_FROM,MOD(P$4-MORT_LEASE_FROM,12)=0),MORT_LEASE_YR,0)</f>
        <v/>
      </c>
      <c r="Q13" s="24">
        <f>-IF(AND(Q$4&gt;=MORT_LEASE_FROM,MOD(Q$4-MORT_LEASE_FROM,12)=0),MORT_LEASE_YR,0)</f>
        <v/>
      </c>
      <c r="R13" s="24">
        <f>-IF(AND(R$4&gt;=MORT_LEASE_FROM,MOD(R$4-MORT_LEASE_FROM,12)=0),MORT_LEASE_YR,0)</f>
        <v/>
      </c>
      <c r="S13" s="24">
        <f>-IF(AND(S$4&gt;=MORT_LEASE_FROM,MOD(S$4-MORT_LEASE_FROM,12)=0),MORT_LEASE_YR,0)</f>
        <v/>
      </c>
      <c r="T13" s="24">
        <f>-IF(AND(T$4&gt;=MORT_LEASE_FROM,MOD(T$4-MORT_LEASE_FROM,12)=0),MORT_LEASE_YR,0)</f>
        <v/>
      </c>
      <c r="U13" s="24">
        <f>-IF(AND(U$4&gt;=MORT_LEASE_FROM,MOD(U$4-MORT_LEASE_FROM,12)=0),MORT_LEASE_YR,0)</f>
        <v/>
      </c>
      <c r="V13" s="24">
        <f>-IF(AND(V$4&gt;=MORT_LEASE_FROM,MOD(V$4-MORT_LEASE_FROM,12)=0),MORT_LEASE_YR,0)</f>
        <v/>
      </c>
      <c r="W13" s="24">
        <f>-IF(AND(W$4&gt;=MORT_LEASE_FROM,MOD(W$4-MORT_LEASE_FROM,12)=0),MORT_LEASE_YR,0)</f>
        <v/>
      </c>
      <c r="X13" s="24">
        <f>-IF(AND(X$4&gt;=MORT_LEASE_FROM,MOD(X$4-MORT_LEASE_FROM,12)=0),MORT_LEASE_YR,0)</f>
        <v/>
      </c>
      <c r="Y13" s="24">
        <f>-IF(AND(Y$4&gt;=MORT_LEASE_FROM,MOD(Y$4-MORT_LEASE_FROM,12)=0),MORT_LEASE_YR,0)</f>
        <v/>
      </c>
      <c r="Z13" s="24">
        <f>-IF(AND(Z$4&gt;=MORT_LEASE_FROM,MOD(Z$4-MORT_LEASE_FROM,12)=0),MORT_LEASE_YR,0)</f>
        <v/>
      </c>
      <c r="AA13" s="24">
        <f>-IF(AND(AA$4&gt;=MORT_LEASE_FROM,MOD(AA$4-MORT_LEASE_FROM,12)=0),MORT_LEASE_YR,0)</f>
        <v/>
      </c>
      <c r="AB13" s="24">
        <f>-IF(AND(AB$4&gt;=MORT_LEASE_FROM,MOD(AB$4-MORT_LEASE_FROM,12)=0),MORT_LEASE_YR,0)</f>
        <v/>
      </c>
      <c r="AC13" s="24">
        <f>-IF(AND(AC$4&gt;=MORT_LEASE_FROM,MOD(AC$4-MORT_LEASE_FROM,12)=0),MORT_LEASE_YR,0)</f>
        <v/>
      </c>
      <c r="AD13" s="24">
        <f>-IF(AND(AD$4&gt;=MORT_LEASE_FROM,MOD(AD$4-MORT_LEASE_FROM,12)=0),MORT_LEASE_YR,0)</f>
        <v/>
      </c>
      <c r="AE13" s="24">
        <f>-IF(AND(AE$4&gt;=MORT_LEASE_FROM,MOD(AE$4-MORT_LEASE_FROM,12)=0),MORT_LEASE_YR,0)</f>
        <v/>
      </c>
      <c r="AF13" s="24">
        <f>-IF(AND(AF$4&gt;=MORT_LEASE_FROM,MOD(AF$4-MORT_LEASE_FROM,12)=0),MORT_LEASE_YR,0)</f>
        <v/>
      </c>
      <c r="AG13" s="24">
        <f>-IF(AND(AG$4&gt;=MORT_LEASE_FROM,MOD(AG$4-MORT_LEASE_FROM,12)=0),MORT_LEASE_YR,0)</f>
        <v/>
      </c>
      <c r="AH13" s="24">
        <f>-IF(AND(AH$4&gt;=MORT_LEASE_FROM,MOD(AH$4-MORT_LEASE_FROM,12)=0),MORT_LEASE_YR,0)</f>
        <v/>
      </c>
      <c r="AI13" s="24">
        <f>-IF(AND(AI$4&gt;=MORT_LEASE_FROM,MOD(AI$4-MORT_LEASE_FROM,12)=0),MORT_LEASE_YR,0)</f>
        <v/>
      </c>
      <c r="AJ13" s="24">
        <f>-IF(AND(AJ$4&gt;=MORT_LEASE_FROM,MOD(AJ$4-MORT_LEASE_FROM,12)=0),MORT_LEASE_YR,0)</f>
        <v/>
      </c>
      <c r="AK13" s="24">
        <f>-IF(AND(AK$4&gt;=MORT_LEASE_FROM,MOD(AK$4-MORT_LEASE_FROM,12)=0),MORT_LEASE_YR,0)</f>
        <v/>
      </c>
      <c r="AL13" s="24">
        <f>-IF(AND(AL$4&gt;=MORT_LEASE_FROM,MOD(AL$4-MORT_LEASE_FROM,12)=0),MORT_LEASE_YR,0)</f>
        <v/>
      </c>
      <c r="AM13" s="24">
        <f>-IF(AND(AM$4&gt;=MORT_LEASE_FROM,MOD(AM$4-MORT_LEASE_FROM,12)=0),MORT_LEASE_YR,0)</f>
        <v/>
      </c>
      <c r="AN13" s="24">
        <f>-IF(AND(AN$4&gt;=MORT_LEASE_FROM,MOD(AN$4-MORT_LEASE_FROM,12)=0),MORT_LEASE_YR,0)</f>
        <v/>
      </c>
      <c r="AO13" s="24">
        <f>-IF(AND(AO$4&gt;=MORT_LEASE_FROM,MOD(AO$4-MORT_LEASE_FROM,12)=0),MORT_LEASE_YR,0)</f>
        <v/>
      </c>
      <c r="AP13" s="24">
        <f>-IF(AND(AP$4&gt;=MORT_LEASE_FROM,MOD(AP$4-MORT_LEASE_FROM,12)=0),MORT_LEASE_YR,0)</f>
        <v/>
      </c>
      <c r="AQ13" s="24">
        <f>-IF(AND(AQ$4&gt;=MORT_LEASE_FROM,MOD(AQ$4-MORT_LEASE_FROM,12)=0),MORT_LEASE_YR,0)</f>
        <v/>
      </c>
      <c r="AR13" s="24">
        <f>-IF(AND(AR$4&gt;=MORT_LEASE_FROM,MOD(AR$4-MORT_LEASE_FROM,12)=0),MORT_LEASE_YR,0)</f>
        <v/>
      </c>
      <c r="AS13" s="24">
        <f>-IF(AND(AS$4&gt;=MORT_LEASE_FROM,MOD(AS$4-MORT_LEASE_FROM,12)=0),MORT_LEASE_YR,0)</f>
        <v/>
      </c>
      <c r="AT13" s="24">
        <f>-IF(AND(AT$4&gt;=MORT_LEASE_FROM,MOD(AT$4-MORT_LEASE_FROM,12)=0),MORT_LEASE_YR,0)</f>
        <v/>
      </c>
      <c r="AU13" s="24">
        <f>-IF(AND(AU$4&gt;=MORT_LEASE_FROM,MOD(AU$4-MORT_LEASE_FROM,12)=0),MORT_LEASE_YR,0)</f>
        <v/>
      </c>
      <c r="AV13" s="24">
        <f>-IF(AND(AV$4&gt;=MORT_LEASE_FROM,MOD(AV$4-MORT_LEASE_FROM,12)=0),MORT_LEASE_YR,0)</f>
        <v/>
      </c>
      <c r="AW13" s="24">
        <f>-IF(AND(AW$4&gt;=MORT_LEASE_FROM,MOD(AW$4-MORT_LEASE_FROM,12)=0),MORT_LEASE_YR,0)</f>
        <v/>
      </c>
      <c r="AX13" s="24">
        <f>-IF(AND(AX$4&gt;=MORT_LEASE_FROM,MOD(AX$4-MORT_LEASE_FROM,12)=0),MORT_LEASE_YR,0)</f>
        <v/>
      </c>
      <c r="AY13" s="24">
        <f>-IF(AND(AY$4&gt;=MORT_LEASE_FROM,MOD(AY$4-MORT_LEASE_FROM,12)=0),MORT_LEASE_YR,0)</f>
        <v/>
      </c>
      <c r="AZ13" s="24">
        <f>-IF(AND(AZ$4&gt;=MORT_LEASE_FROM,MOD(AZ$4-MORT_LEASE_FROM,12)=0),MORT_LEASE_YR,0)</f>
        <v/>
      </c>
      <c r="BA13" s="24">
        <f>-IF(AND(BA$4&gt;=MORT_LEASE_FROM,MOD(BA$4-MORT_LEASE_FROM,12)=0),MORT_LEASE_YR,0)</f>
        <v/>
      </c>
      <c r="BB13" s="24">
        <f>-IF(AND(BB$4&gt;=MORT_LEASE_FROM,MOD(BB$4-MORT_LEASE_FROM,12)=0),MORT_LEASE_YR,0)</f>
        <v/>
      </c>
      <c r="BC13" s="24">
        <f>-IF(AND(BC$4&gt;=MORT_LEASE_FROM,MOD(BC$4-MORT_LEASE_FROM,12)=0),MORT_LEASE_YR,0)</f>
        <v/>
      </c>
      <c r="BD13" s="24">
        <f>-IF(AND(BD$4&gt;=MORT_LEASE_FROM,MOD(BD$4-MORT_LEASE_FROM,12)=0),MORT_LEASE_YR,0)</f>
        <v/>
      </c>
      <c r="BE13" s="24">
        <f>-IF(AND(BE$4&gt;=MORT_LEASE_FROM,MOD(BE$4-MORT_LEASE_FROM,12)=0),MORT_LEASE_YR,0)</f>
        <v/>
      </c>
      <c r="BF13" s="24">
        <f>-IF(AND(BF$4&gt;=MORT_LEASE_FROM,MOD(BF$4-MORT_LEASE_FROM,12)=0),MORT_LEASE_YR,0)</f>
        <v/>
      </c>
      <c r="BG13" s="24">
        <f>-IF(AND(BG$4&gt;=MORT_LEASE_FROM,MOD(BG$4-MORT_LEASE_FROM,12)=0),MORT_LEASE_YR,0)</f>
        <v/>
      </c>
      <c r="BH13" s="24">
        <f>-IF(AND(BH$4&gt;=MORT_LEASE_FROM,MOD(BH$4-MORT_LEASE_FROM,12)=0),MORT_LEASE_YR,0)</f>
        <v/>
      </c>
      <c r="BI13" s="24">
        <f>-IF(AND(BI$4&gt;=MORT_LEASE_FROM,MOD(BI$4-MORT_LEASE_FROM,12)=0),MORT_LEASE_YR,0)</f>
        <v/>
      </c>
      <c r="BJ13" s="24">
        <f>-IF(AND(BJ$4&gt;=MORT_LEASE_FROM,MOD(BJ$4-MORT_LEASE_FROM,12)=0),MORT_LEASE_YR,0)</f>
        <v/>
      </c>
      <c r="BK13" s="24">
        <f>-IF(AND(BK$4&gt;=MORT_LEASE_FROM,MOD(BK$4-MORT_LEASE_FROM,12)=0),MORT_LEASE_YR,0)</f>
        <v/>
      </c>
    </row>
    <row r="14">
      <c r="A14" s="30" t="inlineStr">
        <is>
          <t>Leases paid</t>
        </is>
      </c>
      <c r="B14" s="3" t="inlineStr"/>
      <c r="C14" s="2" t="n"/>
      <c r="D14" s="33">
        <f>SUM(D11:D13)</f>
        <v/>
      </c>
      <c r="E14" s="33">
        <f>SUM(E11:E13)</f>
        <v/>
      </c>
      <c r="F14" s="33">
        <f>SUM(F11:F13)</f>
        <v/>
      </c>
      <c r="G14" s="33">
        <f>SUM(G11:G13)</f>
        <v/>
      </c>
      <c r="H14" s="33">
        <f>SUM(H11:H13)</f>
        <v/>
      </c>
      <c r="I14" s="33">
        <f>SUM(I11:I13)</f>
        <v/>
      </c>
      <c r="J14" s="33">
        <f>SUM(J11:J13)</f>
        <v/>
      </c>
      <c r="K14" s="33">
        <f>SUM(K11:K13)</f>
        <v/>
      </c>
      <c r="L14" s="33">
        <f>SUM(L11:L13)</f>
        <v/>
      </c>
      <c r="M14" s="33">
        <f>SUM(M11:M13)</f>
        <v/>
      </c>
      <c r="N14" s="33">
        <f>SUM(N11:N13)</f>
        <v/>
      </c>
      <c r="O14" s="33">
        <f>SUM(O11:O13)</f>
        <v/>
      </c>
      <c r="P14" s="33">
        <f>SUM(P11:P13)</f>
        <v/>
      </c>
      <c r="Q14" s="33">
        <f>SUM(Q11:Q13)</f>
        <v/>
      </c>
      <c r="R14" s="33">
        <f>SUM(R11:R13)</f>
        <v/>
      </c>
      <c r="S14" s="33">
        <f>SUM(S11:S13)</f>
        <v/>
      </c>
      <c r="T14" s="33">
        <f>SUM(T11:T13)</f>
        <v/>
      </c>
      <c r="U14" s="33">
        <f>SUM(U11:U13)</f>
        <v/>
      </c>
      <c r="V14" s="33">
        <f>SUM(V11:V13)</f>
        <v/>
      </c>
      <c r="W14" s="33">
        <f>SUM(W11:W13)</f>
        <v/>
      </c>
      <c r="X14" s="33">
        <f>SUM(X11:X13)</f>
        <v/>
      </c>
      <c r="Y14" s="33">
        <f>SUM(Y11:Y13)</f>
        <v/>
      </c>
      <c r="Z14" s="33">
        <f>SUM(Z11:Z13)</f>
        <v/>
      </c>
      <c r="AA14" s="33">
        <f>SUM(AA11:AA13)</f>
        <v/>
      </c>
      <c r="AB14" s="33">
        <f>SUM(AB11:AB13)</f>
        <v/>
      </c>
      <c r="AC14" s="33">
        <f>SUM(AC11:AC13)</f>
        <v/>
      </c>
      <c r="AD14" s="33">
        <f>SUM(AD11:AD13)</f>
        <v/>
      </c>
      <c r="AE14" s="33">
        <f>SUM(AE11:AE13)</f>
        <v/>
      </c>
      <c r="AF14" s="33">
        <f>SUM(AF11:AF13)</f>
        <v/>
      </c>
      <c r="AG14" s="33">
        <f>SUM(AG11:AG13)</f>
        <v/>
      </c>
      <c r="AH14" s="33">
        <f>SUM(AH11:AH13)</f>
        <v/>
      </c>
      <c r="AI14" s="33">
        <f>SUM(AI11:AI13)</f>
        <v/>
      </c>
      <c r="AJ14" s="33">
        <f>SUM(AJ11:AJ13)</f>
        <v/>
      </c>
      <c r="AK14" s="33">
        <f>SUM(AK11:AK13)</f>
        <v/>
      </c>
      <c r="AL14" s="33">
        <f>SUM(AL11:AL13)</f>
        <v/>
      </c>
      <c r="AM14" s="33">
        <f>SUM(AM11:AM13)</f>
        <v/>
      </c>
      <c r="AN14" s="33">
        <f>SUM(AN11:AN13)</f>
        <v/>
      </c>
      <c r="AO14" s="33">
        <f>SUM(AO11:AO13)</f>
        <v/>
      </c>
      <c r="AP14" s="33">
        <f>SUM(AP11:AP13)</f>
        <v/>
      </c>
      <c r="AQ14" s="33">
        <f>SUM(AQ11:AQ13)</f>
        <v/>
      </c>
      <c r="AR14" s="33">
        <f>SUM(AR11:AR13)</f>
        <v/>
      </c>
      <c r="AS14" s="33">
        <f>SUM(AS11:AS13)</f>
        <v/>
      </c>
      <c r="AT14" s="33">
        <f>SUM(AT11:AT13)</f>
        <v/>
      </c>
      <c r="AU14" s="33">
        <f>SUM(AU11:AU13)</f>
        <v/>
      </c>
      <c r="AV14" s="33">
        <f>SUM(AV11:AV13)</f>
        <v/>
      </c>
      <c r="AW14" s="33">
        <f>SUM(AW11:AW13)</f>
        <v/>
      </c>
      <c r="AX14" s="33">
        <f>SUM(AX11:AX13)</f>
        <v/>
      </c>
      <c r="AY14" s="33">
        <f>SUM(AY11:AY13)</f>
        <v/>
      </c>
      <c r="AZ14" s="33">
        <f>SUM(AZ11:AZ13)</f>
        <v/>
      </c>
      <c r="BA14" s="33">
        <f>SUM(BA11:BA13)</f>
        <v/>
      </c>
      <c r="BB14" s="33">
        <f>SUM(BB11:BB13)</f>
        <v/>
      </c>
      <c r="BC14" s="33">
        <f>SUM(BC11:BC13)</f>
        <v/>
      </c>
      <c r="BD14" s="33">
        <f>SUM(BD11:BD13)</f>
        <v/>
      </c>
      <c r="BE14" s="33">
        <f>SUM(BE11:BE13)</f>
        <v/>
      </c>
      <c r="BF14" s="33">
        <f>SUM(BF11:BF13)</f>
        <v/>
      </c>
      <c r="BG14" s="33">
        <f>SUM(BG11:BG13)</f>
        <v/>
      </c>
      <c r="BH14" s="33">
        <f>SUM(BH11:BH13)</f>
        <v/>
      </c>
      <c r="BI14" s="33">
        <f>SUM(BI11:BI13)</f>
        <v/>
      </c>
      <c r="BJ14" s="33">
        <f>SUM(BJ11:BJ13)</f>
        <v/>
      </c>
      <c r="BK14" s="33">
        <f>SUM(BK11:BK13)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</row>
    <row r="16">
      <c r="A16" s="12" t="inlineStr">
        <is>
          <t>Capital spend</t>
        </is>
      </c>
      <c r="B16" s="13" t="n"/>
      <c r="C16" s="1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</row>
    <row r="17">
      <c r="A17" s="14" t="inlineStr">
        <is>
          <t>Residence one, building works</t>
        </is>
      </c>
      <c r="B17" s="3" t="inlineStr"/>
      <c r="C17" s="2" t="n"/>
      <c r="D17" s="24">
        <f>-IF(AND(D$4&gt;=RES1_EFF-LEASE_LEAD,D$4&lt;RES1_EFF),RES_CONV/LEASE_LEAD,0)</f>
        <v/>
      </c>
      <c r="E17" s="24">
        <f>-IF(AND(E$4&gt;=RES1_EFF-LEASE_LEAD,E$4&lt;RES1_EFF),RES_CONV/LEASE_LEAD,0)</f>
        <v/>
      </c>
      <c r="F17" s="24">
        <f>-IF(AND(F$4&gt;=RES1_EFF-LEASE_LEAD,F$4&lt;RES1_EFF),RES_CONV/LEASE_LEAD,0)</f>
        <v/>
      </c>
      <c r="G17" s="24">
        <f>-IF(AND(G$4&gt;=RES1_EFF-LEASE_LEAD,G$4&lt;RES1_EFF),RES_CONV/LEASE_LEAD,0)</f>
        <v/>
      </c>
      <c r="H17" s="24">
        <f>-IF(AND(H$4&gt;=RES1_EFF-LEASE_LEAD,H$4&lt;RES1_EFF),RES_CONV/LEASE_LEAD,0)</f>
        <v/>
      </c>
      <c r="I17" s="24">
        <f>-IF(AND(I$4&gt;=RES1_EFF-LEASE_LEAD,I$4&lt;RES1_EFF),RES_CONV/LEASE_LEAD,0)</f>
        <v/>
      </c>
      <c r="J17" s="24">
        <f>-IF(AND(J$4&gt;=RES1_EFF-LEASE_LEAD,J$4&lt;RES1_EFF),RES_CONV/LEASE_LEAD,0)</f>
        <v/>
      </c>
      <c r="K17" s="24">
        <f>-IF(AND(K$4&gt;=RES1_EFF-LEASE_LEAD,K$4&lt;RES1_EFF),RES_CONV/LEASE_LEAD,0)</f>
        <v/>
      </c>
      <c r="L17" s="24">
        <f>-IF(AND(L$4&gt;=RES1_EFF-LEASE_LEAD,L$4&lt;RES1_EFF),RES_CONV/LEASE_LEAD,0)</f>
        <v/>
      </c>
      <c r="M17" s="24">
        <f>-IF(AND(M$4&gt;=RES1_EFF-LEASE_LEAD,M$4&lt;RES1_EFF),RES_CONV/LEASE_LEAD,0)</f>
        <v/>
      </c>
      <c r="N17" s="24">
        <f>-IF(AND(N$4&gt;=RES1_EFF-LEASE_LEAD,N$4&lt;RES1_EFF),RES_CONV/LEASE_LEAD,0)</f>
        <v/>
      </c>
      <c r="O17" s="24">
        <f>-IF(AND(O$4&gt;=RES1_EFF-LEASE_LEAD,O$4&lt;RES1_EFF),RES_CONV/LEASE_LEAD,0)</f>
        <v/>
      </c>
      <c r="P17" s="24">
        <f>-IF(AND(P$4&gt;=RES1_EFF-LEASE_LEAD,P$4&lt;RES1_EFF),RES_CONV/LEASE_LEAD,0)</f>
        <v/>
      </c>
      <c r="Q17" s="24">
        <f>-IF(AND(Q$4&gt;=RES1_EFF-LEASE_LEAD,Q$4&lt;RES1_EFF),RES_CONV/LEASE_LEAD,0)</f>
        <v/>
      </c>
      <c r="R17" s="24">
        <f>-IF(AND(R$4&gt;=RES1_EFF-LEASE_LEAD,R$4&lt;RES1_EFF),RES_CONV/LEASE_LEAD,0)</f>
        <v/>
      </c>
      <c r="S17" s="24">
        <f>-IF(AND(S$4&gt;=RES1_EFF-LEASE_LEAD,S$4&lt;RES1_EFF),RES_CONV/LEASE_LEAD,0)</f>
        <v/>
      </c>
      <c r="T17" s="24">
        <f>-IF(AND(T$4&gt;=RES1_EFF-LEASE_LEAD,T$4&lt;RES1_EFF),RES_CONV/LEASE_LEAD,0)</f>
        <v/>
      </c>
      <c r="U17" s="24">
        <f>-IF(AND(U$4&gt;=RES1_EFF-LEASE_LEAD,U$4&lt;RES1_EFF),RES_CONV/LEASE_LEAD,0)</f>
        <v/>
      </c>
      <c r="V17" s="24">
        <f>-IF(AND(V$4&gt;=RES1_EFF-LEASE_LEAD,V$4&lt;RES1_EFF),RES_CONV/LEASE_LEAD,0)</f>
        <v/>
      </c>
      <c r="W17" s="24">
        <f>-IF(AND(W$4&gt;=RES1_EFF-LEASE_LEAD,W$4&lt;RES1_EFF),RES_CONV/LEASE_LEAD,0)</f>
        <v/>
      </c>
      <c r="X17" s="24">
        <f>-IF(AND(X$4&gt;=RES1_EFF-LEASE_LEAD,X$4&lt;RES1_EFF),RES_CONV/LEASE_LEAD,0)</f>
        <v/>
      </c>
      <c r="Y17" s="24">
        <f>-IF(AND(Y$4&gt;=RES1_EFF-LEASE_LEAD,Y$4&lt;RES1_EFF),RES_CONV/LEASE_LEAD,0)</f>
        <v/>
      </c>
      <c r="Z17" s="24">
        <f>-IF(AND(Z$4&gt;=RES1_EFF-LEASE_LEAD,Z$4&lt;RES1_EFF),RES_CONV/LEASE_LEAD,0)</f>
        <v/>
      </c>
      <c r="AA17" s="24">
        <f>-IF(AND(AA$4&gt;=RES1_EFF-LEASE_LEAD,AA$4&lt;RES1_EFF),RES_CONV/LEASE_LEAD,0)</f>
        <v/>
      </c>
      <c r="AB17" s="24">
        <f>-IF(AND(AB$4&gt;=RES1_EFF-LEASE_LEAD,AB$4&lt;RES1_EFF),RES_CONV/LEASE_LEAD,0)</f>
        <v/>
      </c>
      <c r="AC17" s="24">
        <f>-IF(AND(AC$4&gt;=RES1_EFF-LEASE_LEAD,AC$4&lt;RES1_EFF),RES_CONV/LEASE_LEAD,0)</f>
        <v/>
      </c>
      <c r="AD17" s="24">
        <f>-IF(AND(AD$4&gt;=RES1_EFF-LEASE_LEAD,AD$4&lt;RES1_EFF),RES_CONV/LEASE_LEAD,0)</f>
        <v/>
      </c>
      <c r="AE17" s="24">
        <f>-IF(AND(AE$4&gt;=RES1_EFF-LEASE_LEAD,AE$4&lt;RES1_EFF),RES_CONV/LEASE_LEAD,0)</f>
        <v/>
      </c>
      <c r="AF17" s="24">
        <f>-IF(AND(AF$4&gt;=RES1_EFF-LEASE_LEAD,AF$4&lt;RES1_EFF),RES_CONV/LEASE_LEAD,0)</f>
        <v/>
      </c>
      <c r="AG17" s="24">
        <f>-IF(AND(AG$4&gt;=RES1_EFF-LEASE_LEAD,AG$4&lt;RES1_EFF),RES_CONV/LEASE_LEAD,0)</f>
        <v/>
      </c>
      <c r="AH17" s="24">
        <f>-IF(AND(AH$4&gt;=RES1_EFF-LEASE_LEAD,AH$4&lt;RES1_EFF),RES_CONV/LEASE_LEAD,0)</f>
        <v/>
      </c>
      <c r="AI17" s="24">
        <f>-IF(AND(AI$4&gt;=RES1_EFF-LEASE_LEAD,AI$4&lt;RES1_EFF),RES_CONV/LEASE_LEAD,0)</f>
        <v/>
      </c>
      <c r="AJ17" s="24">
        <f>-IF(AND(AJ$4&gt;=RES1_EFF-LEASE_LEAD,AJ$4&lt;RES1_EFF),RES_CONV/LEASE_LEAD,0)</f>
        <v/>
      </c>
      <c r="AK17" s="24">
        <f>-IF(AND(AK$4&gt;=RES1_EFF-LEASE_LEAD,AK$4&lt;RES1_EFF),RES_CONV/LEASE_LEAD,0)</f>
        <v/>
      </c>
      <c r="AL17" s="24">
        <f>-IF(AND(AL$4&gt;=RES1_EFF-LEASE_LEAD,AL$4&lt;RES1_EFF),RES_CONV/LEASE_LEAD,0)</f>
        <v/>
      </c>
      <c r="AM17" s="24">
        <f>-IF(AND(AM$4&gt;=RES1_EFF-LEASE_LEAD,AM$4&lt;RES1_EFF),RES_CONV/LEASE_LEAD,0)</f>
        <v/>
      </c>
      <c r="AN17" s="24">
        <f>-IF(AND(AN$4&gt;=RES1_EFF-LEASE_LEAD,AN$4&lt;RES1_EFF),RES_CONV/LEASE_LEAD,0)</f>
        <v/>
      </c>
      <c r="AO17" s="24">
        <f>-IF(AND(AO$4&gt;=RES1_EFF-LEASE_LEAD,AO$4&lt;RES1_EFF),RES_CONV/LEASE_LEAD,0)</f>
        <v/>
      </c>
      <c r="AP17" s="24">
        <f>-IF(AND(AP$4&gt;=RES1_EFF-LEASE_LEAD,AP$4&lt;RES1_EFF),RES_CONV/LEASE_LEAD,0)</f>
        <v/>
      </c>
      <c r="AQ17" s="24">
        <f>-IF(AND(AQ$4&gt;=RES1_EFF-LEASE_LEAD,AQ$4&lt;RES1_EFF),RES_CONV/LEASE_LEAD,0)</f>
        <v/>
      </c>
      <c r="AR17" s="24">
        <f>-IF(AND(AR$4&gt;=RES1_EFF-LEASE_LEAD,AR$4&lt;RES1_EFF),RES_CONV/LEASE_LEAD,0)</f>
        <v/>
      </c>
      <c r="AS17" s="24">
        <f>-IF(AND(AS$4&gt;=RES1_EFF-LEASE_LEAD,AS$4&lt;RES1_EFF),RES_CONV/LEASE_LEAD,0)</f>
        <v/>
      </c>
      <c r="AT17" s="24">
        <f>-IF(AND(AT$4&gt;=RES1_EFF-LEASE_LEAD,AT$4&lt;RES1_EFF),RES_CONV/LEASE_LEAD,0)</f>
        <v/>
      </c>
      <c r="AU17" s="24">
        <f>-IF(AND(AU$4&gt;=RES1_EFF-LEASE_LEAD,AU$4&lt;RES1_EFF),RES_CONV/LEASE_LEAD,0)</f>
        <v/>
      </c>
      <c r="AV17" s="24">
        <f>-IF(AND(AV$4&gt;=RES1_EFF-LEASE_LEAD,AV$4&lt;RES1_EFF),RES_CONV/LEASE_LEAD,0)</f>
        <v/>
      </c>
      <c r="AW17" s="24">
        <f>-IF(AND(AW$4&gt;=RES1_EFF-LEASE_LEAD,AW$4&lt;RES1_EFF),RES_CONV/LEASE_LEAD,0)</f>
        <v/>
      </c>
      <c r="AX17" s="24">
        <f>-IF(AND(AX$4&gt;=RES1_EFF-LEASE_LEAD,AX$4&lt;RES1_EFF),RES_CONV/LEASE_LEAD,0)</f>
        <v/>
      </c>
      <c r="AY17" s="24">
        <f>-IF(AND(AY$4&gt;=RES1_EFF-LEASE_LEAD,AY$4&lt;RES1_EFF),RES_CONV/LEASE_LEAD,0)</f>
        <v/>
      </c>
      <c r="AZ17" s="24">
        <f>-IF(AND(AZ$4&gt;=RES1_EFF-LEASE_LEAD,AZ$4&lt;RES1_EFF),RES_CONV/LEASE_LEAD,0)</f>
        <v/>
      </c>
      <c r="BA17" s="24">
        <f>-IF(AND(BA$4&gt;=RES1_EFF-LEASE_LEAD,BA$4&lt;RES1_EFF),RES_CONV/LEASE_LEAD,0)</f>
        <v/>
      </c>
      <c r="BB17" s="24">
        <f>-IF(AND(BB$4&gt;=RES1_EFF-LEASE_LEAD,BB$4&lt;RES1_EFF),RES_CONV/LEASE_LEAD,0)</f>
        <v/>
      </c>
      <c r="BC17" s="24">
        <f>-IF(AND(BC$4&gt;=RES1_EFF-LEASE_LEAD,BC$4&lt;RES1_EFF),RES_CONV/LEASE_LEAD,0)</f>
        <v/>
      </c>
      <c r="BD17" s="24">
        <f>-IF(AND(BD$4&gt;=RES1_EFF-LEASE_LEAD,BD$4&lt;RES1_EFF),RES_CONV/LEASE_LEAD,0)</f>
        <v/>
      </c>
      <c r="BE17" s="24">
        <f>-IF(AND(BE$4&gt;=RES1_EFF-LEASE_LEAD,BE$4&lt;RES1_EFF),RES_CONV/LEASE_LEAD,0)</f>
        <v/>
      </c>
      <c r="BF17" s="24">
        <f>-IF(AND(BF$4&gt;=RES1_EFF-LEASE_LEAD,BF$4&lt;RES1_EFF),RES_CONV/LEASE_LEAD,0)</f>
        <v/>
      </c>
      <c r="BG17" s="24">
        <f>-IF(AND(BG$4&gt;=RES1_EFF-LEASE_LEAD,BG$4&lt;RES1_EFF),RES_CONV/LEASE_LEAD,0)</f>
        <v/>
      </c>
      <c r="BH17" s="24">
        <f>-IF(AND(BH$4&gt;=RES1_EFF-LEASE_LEAD,BH$4&lt;RES1_EFF),RES_CONV/LEASE_LEAD,0)</f>
        <v/>
      </c>
      <c r="BI17" s="24">
        <f>-IF(AND(BI$4&gt;=RES1_EFF-LEASE_LEAD,BI$4&lt;RES1_EFF),RES_CONV/LEASE_LEAD,0)</f>
        <v/>
      </c>
      <c r="BJ17" s="24">
        <f>-IF(AND(BJ$4&gt;=RES1_EFF-LEASE_LEAD,BJ$4&lt;RES1_EFF),RES_CONV/LEASE_LEAD,0)</f>
        <v/>
      </c>
      <c r="BK17" s="24">
        <f>-IF(AND(BK$4&gt;=RES1_EFF-LEASE_LEAD,BK$4&lt;RES1_EFF),RES_CONV/LEASE_LEAD,0)</f>
        <v/>
      </c>
    </row>
    <row r="18">
      <c r="A18" s="14" t="inlineStr">
        <is>
          <t>Residence one, equipment and pre-opening</t>
        </is>
      </c>
      <c r="B18" s="3" t="inlineStr"/>
      <c r="C18" s="2" t="n"/>
      <c r="D18" s="24">
        <f>-IF(AND(D$4&gt;=RES1_EFF-EQUIP_MONTHS,D$4&lt;RES1_EFF),RES_EQUIP/EQUIP_MONTHS,0)</f>
        <v/>
      </c>
      <c r="E18" s="24">
        <f>-IF(AND(E$4&gt;=RES1_EFF-EQUIP_MONTHS,E$4&lt;RES1_EFF),RES_EQUIP/EQUIP_MONTHS,0)</f>
        <v/>
      </c>
      <c r="F18" s="24">
        <f>-IF(AND(F$4&gt;=RES1_EFF-EQUIP_MONTHS,F$4&lt;RES1_EFF),RES_EQUIP/EQUIP_MONTHS,0)</f>
        <v/>
      </c>
      <c r="G18" s="24">
        <f>-IF(AND(G$4&gt;=RES1_EFF-EQUIP_MONTHS,G$4&lt;RES1_EFF),RES_EQUIP/EQUIP_MONTHS,0)</f>
        <v/>
      </c>
      <c r="H18" s="24">
        <f>-IF(AND(H$4&gt;=RES1_EFF-EQUIP_MONTHS,H$4&lt;RES1_EFF),RES_EQUIP/EQUIP_MONTHS,0)</f>
        <v/>
      </c>
      <c r="I18" s="24">
        <f>-IF(AND(I$4&gt;=RES1_EFF-EQUIP_MONTHS,I$4&lt;RES1_EFF),RES_EQUIP/EQUIP_MONTHS,0)</f>
        <v/>
      </c>
      <c r="J18" s="24">
        <f>-IF(AND(J$4&gt;=RES1_EFF-EQUIP_MONTHS,J$4&lt;RES1_EFF),RES_EQUIP/EQUIP_MONTHS,0)</f>
        <v/>
      </c>
      <c r="K18" s="24">
        <f>-IF(AND(K$4&gt;=RES1_EFF-EQUIP_MONTHS,K$4&lt;RES1_EFF),RES_EQUIP/EQUIP_MONTHS,0)</f>
        <v/>
      </c>
      <c r="L18" s="24">
        <f>-IF(AND(L$4&gt;=RES1_EFF-EQUIP_MONTHS,L$4&lt;RES1_EFF),RES_EQUIP/EQUIP_MONTHS,0)</f>
        <v/>
      </c>
      <c r="M18" s="24">
        <f>-IF(AND(M$4&gt;=RES1_EFF-EQUIP_MONTHS,M$4&lt;RES1_EFF),RES_EQUIP/EQUIP_MONTHS,0)</f>
        <v/>
      </c>
      <c r="N18" s="24">
        <f>-IF(AND(N$4&gt;=RES1_EFF-EQUIP_MONTHS,N$4&lt;RES1_EFF),RES_EQUIP/EQUIP_MONTHS,0)</f>
        <v/>
      </c>
      <c r="O18" s="24">
        <f>-IF(AND(O$4&gt;=RES1_EFF-EQUIP_MONTHS,O$4&lt;RES1_EFF),RES_EQUIP/EQUIP_MONTHS,0)</f>
        <v/>
      </c>
      <c r="P18" s="24">
        <f>-IF(AND(P$4&gt;=RES1_EFF-EQUIP_MONTHS,P$4&lt;RES1_EFF),RES_EQUIP/EQUIP_MONTHS,0)</f>
        <v/>
      </c>
      <c r="Q18" s="24">
        <f>-IF(AND(Q$4&gt;=RES1_EFF-EQUIP_MONTHS,Q$4&lt;RES1_EFF),RES_EQUIP/EQUIP_MONTHS,0)</f>
        <v/>
      </c>
      <c r="R18" s="24">
        <f>-IF(AND(R$4&gt;=RES1_EFF-EQUIP_MONTHS,R$4&lt;RES1_EFF),RES_EQUIP/EQUIP_MONTHS,0)</f>
        <v/>
      </c>
      <c r="S18" s="24">
        <f>-IF(AND(S$4&gt;=RES1_EFF-EQUIP_MONTHS,S$4&lt;RES1_EFF),RES_EQUIP/EQUIP_MONTHS,0)</f>
        <v/>
      </c>
      <c r="T18" s="24">
        <f>-IF(AND(T$4&gt;=RES1_EFF-EQUIP_MONTHS,T$4&lt;RES1_EFF),RES_EQUIP/EQUIP_MONTHS,0)</f>
        <v/>
      </c>
      <c r="U18" s="24">
        <f>-IF(AND(U$4&gt;=RES1_EFF-EQUIP_MONTHS,U$4&lt;RES1_EFF),RES_EQUIP/EQUIP_MONTHS,0)</f>
        <v/>
      </c>
      <c r="V18" s="24">
        <f>-IF(AND(V$4&gt;=RES1_EFF-EQUIP_MONTHS,V$4&lt;RES1_EFF),RES_EQUIP/EQUIP_MONTHS,0)</f>
        <v/>
      </c>
      <c r="W18" s="24">
        <f>-IF(AND(W$4&gt;=RES1_EFF-EQUIP_MONTHS,W$4&lt;RES1_EFF),RES_EQUIP/EQUIP_MONTHS,0)</f>
        <v/>
      </c>
      <c r="X18" s="24">
        <f>-IF(AND(X$4&gt;=RES1_EFF-EQUIP_MONTHS,X$4&lt;RES1_EFF),RES_EQUIP/EQUIP_MONTHS,0)</f>
        <v/>
      </c>
      <c r="Y18" s="24">
        <f>-IF(AND(Y$4&gt;=RES1_EFF-EQUIP_MONTHS,Y$4&lt;RES1_EFF),RES_EQUIP/EQUIP_MONTHS,0)</f>
        <v/>
      </c>
      <c r="Z18" s="24">
        <f>-IF(AND(Z$4&gt;=RES1_EFF-EQUIP_MONTHS,Z$4&lt;RES1_EFF),RES_EQUIP/EQUIP_MONTHS,0)</f>
        <v/>
      </c>
      <c r="AA18" s="24">
        <f>-IF(AND(AA$4&gt;=RES1_EFF-EQUIP_MONTHS,AA$4&lt;RES1_EFF),RES_EQUIP/EQUIP_MONTHS,0)</f>
        <v/>
      </c>
      <c r="AB18" s="24">
        <f>-IF(AND(AB$4&gt;=RES1_EFF-EQUIP_MONTHS,AB$4&lt;RES1_EFF),RES_EQUIP/EQUIP_MONTHS,0)</f>
        <v/>
      </c>
      <c r="AC18" s="24">
        <f>-IF(AND(AC$4&gt;=RES1_EFF-EQUIP_MONTHS,AC$4&lt;RES1_EFF),RES_EQUIP/EQUIP_MONTHS,0)</f>
        <v/>
      </c>
      <c r="AD18" s="24">
        <f>-IF(AND(AD$4&gt;=RES1_EFF-EQUIP_MONTHS,AD$4&lt;RES1_EFF),RES_EQUIP/EQUIP_MONTHS,0)</f>
        <v/>
      </c>
      <c r="AE18" s="24">
        <f>-IF(AND(AE$4&gt;=RES1_EFF-EQUIP_MONTHS,AE$4&lt;RES1_EFF),RES_EQUIP/EQUIP_MONTHS,0)</f>
        <v/>
      </c>
      <c r="AF18" s="24">
        <f>-IF(AND(AF$4&gt;=RES1_EFF-EQUIP_MONTHS,AF$4&lt;RES1_EFF),RES_EQUIP/EQUIP_MONTHS,0)</f>
        <v/>
      </c>
      <c r="AG18" s="24">
        <f>-IF(AND(AG$4&gt;=RES1_EFF-EQUIP_MONTHS,AG$4&lt;RES1_EFF),RES_EQUIP/EQUIP_MONTHS,0)</f>
        <v/>
      </c>
      <c r="AH18" s="24">
        <f>-IF(AND(AH$4&gt;=RES1_EFF-EQUIP_MONTHS,AH$4&lt;RES1_EFF),RES_EQUIP/EQUIP_MONTHS,0)</f>
        <v/>
      </c>
      <c r="AI18" s="24">
        <f>-IF(AND(AI$4&gt;=RES1_EFF-EQUIP_MONTHS,AI$4&lt;RES1_EFF),RES_EQUIP/EQUIP_MONTHS,0)</f>
        <v/>
      </c>
      <c r="AJ18" s="24">
        <f>-IF(AND(AJ$4&gt;=RES1_EFF-EQUIP_MONTHS,AJ$4&lt;RES1_EFF),RES_EQUIP/EQUIP_MONTHS,0)</f>
        <v/>
      </c>
      <c r="AK18" s="24">
        <f>-IF(AND(AK$4&gt;=RES1_EFF-EQUIP_MONTHS,AK$4&lt;RES1_EFF),RES_EQUIP/EQUIP_MONTHS,0)</f>
        <v/>
      </c>
      <c r="AL18" s="24">
        <f>-IF(AND(AL$4&gt;=RES1_EFF-EQUIP_MONTHS,AL$4&lt;RES1_EFF),RES_EQUIP/EQUIP_MONTHS,0)</f>
        <v/>
      </c>
      <c r="AM18" s="24">
        <f>-IF(AND(AM$4&gt;=RES1_EFF-EQUIP_MONTHS,AM$4&lt;RES1_EFF),RES_EQUIP/EQUIP_MONTHS,0)</f>
        <v/>
      </c>
      <c r="AN18" s="24">
        <f>-IF(AND(AN$4&gt;=RES1_EFF-EQUIP_MONTHS,AN$4&lt;RES1_EFF),RES_EQUIP/EQUIP_MONTHS,0)</f>
        <v/>
      </c>
      <c r="AO18" s="24">
        <f>-IF(AND(AO$4&gt;=RES1_EFF-EQUIP_MONTHS,AO$4&lt;RES1_EFF),RES_EQUIP/EQUIP_MONTHS,0)</f>
        <v/>
      </c>
      <c r="AP18" s="24">
        <f>-IF(AND(AP$4&gt;=RES1_EFF-EQUIP_MONTHS,AP$4&lt;RES1_EFF),RES_EQUIP/EQUIP_MONTHS,0)</f>
        <v/>
      </c>
      <c r="AQ18" s="24">
        <f>-IF(AND(AQ$4&gt;=RES1_EFF-EQUIP_MONTHS,AQ$4&lt;RES1_EFF),RES_EQUIP/EQUIP_MONTHS,0)</f>
        <v/>
      </c>
      <c r="AR18" s="24">
        <f>-IF(AND(AR$4&gt;=RES1_EFF-EQUIP_MONTHS,AR$4&lt;RES1_EFF),RES_EQUIP/EQUIP_MONTHS,0)</f>
        <v/>
      </c>
      <c r="AS18" s="24">
        <f>-IF(AND(AS$4&gt;=RES1_EFF-EQUIP_MONTHS,AS$4&lt;RES1_EFF),RES_EQUIP/EQUIP_MONTHS,0)</f>
        <v/>
      </c>
      <c r="AT18" s="24">
        <f>-IF(AND(AT$4&gt;=RES1_EFF-EQUIP_MONTHS,AT$4&lt;RES1_EFF),RES_EQUIP/EQUIP_MONTHS,0)</f>
        <v/>
      </c>
      <c r="AU18" s="24">
        <f>-IF(AND(AU$4&gt;=RES1_EFF-EQUIP_MONTHS,AU$4&lt;RES1_EFF),RES_EQUIP/EQUIP_MONTHS,0)</f>
        <v/>
      </c>
      <c r="AV18" s="24">
        <f>-IF(AND(AV$4&gt;=RES1_EFF-EQUIP_MONTHS,AV$4&lt;RES1_EFF),RES_EQUIP/EQUIP_MONTHS,0)</f>
        <v/>
      </c>
      <c r="AW18" s="24">
        <f>-IF(AND(AW$4&gt;=RES1_EFF-EQUIP_MONTHS,AW$4&lt;RES1_EFF),RES_EQUIP/EQUIP_MONTHS,0)</f>
        <v/>
      </c>
      <c r="AX18" s="24">
        <f>-IF(AND(AX$4&gt;=RES1_EFF-EQUIP_MONTHS,AX$4&lt;RES1_EFF),RES_EQUIP/EQUIP_MONTHS,0)</f>
        <v/>
      </c>
      <c r="AY18" s="24">
        <f>-IF(AND(AY$4&gt;=RES1_EFF-EQUIP_MONTHS,AY$4&lt;RES1_EFF),RES_EQUIP/EQUIP_MONTHS,0)</f>
        <v/>
      </c>
      <c r="AZ18" s="24">
        <f>-IF(AND(AZ$4&gt;=RES1_EFF-EQUIP_MONTHS,AZ$4&lt;RES1_EFF),RES_EQUIP/EQUIP_MONTHS,0)</f>
        <v/>
      </c>
      <c r="BA18" s="24">
        <f>-IF(AND(BA$4&gt;=RES1_EFF-EQUIP_MONTHS,BA$4&lt;RES1_EFF),RES_EQUIP/EQUIP_MONTHS,0)</f>
        <v/>
      </c>
      <c r="BB18" s="24">
        <f>-IF(AND(BB$4&gt;=RES1_EFF-EQUIP_MONTHS,BB$4&lt;RES1_EFF),RES_EQUIP/EQUIP_MONTHS,0)</f>
        <v/>
      </c>
      <c r="BC18" s="24">
        <f>-IF(AND(BC$4&gt;=RES1_EFF-EQUIP_MONTHS,BC$4&lt;RES1_EFF),RES_EQUIP/EQUIP_MONTHS,0)</f>
        <v/>
      </c>
      <c r="BD18" s="24">
        <f>-IF(AND(BD$4&gt;=RES1_EFF-EQUIP_MONTHS,BD$4&lt;RES1_EFF),RES_EQUIP/EQUIP_MONTHS,0)</f>
        <v/>
      </c>
      <c r="BE18" s="24">
        <f>-IF(AND(BE$4&gt;=RES1_EFF-EQUIP_MONTHS,BE$4&lt;RES1_EFF),RES_EQUIP/EQUIP_MONTHS,0)</f>
        <v/>
      </c>
      <c r="BF18" s="24">
        <f>-IF(AND(BF$4&gt;=RES1_EFF-EQUIP_MONTHS,BF$4&lt;RES1_EFF),RES_EQUIP/EQUIP_MONTHS,0)</f>
        <v/>
      </c>
      <c r="BG18" s="24">
        <f>-IF(AND(BG$4&gt;=RES1_EFF-EQUIP_MONTHS,BG$4&lt;RES1_EFF),RES_EQUIP/EQUIP_MONTHS,0)</f>
        <v/>
      </c>
      <c r="BH18" s="24">
        <f>-IF(AND(BH$4&gt;=RES1_EFF-EQUIP_MONTHS,BH$4&lt;RES1_EFF),RES_EQUIP/EQUIP_MONTHS,0)</f>
        <v/>
      </c>
      <c r="BI18" s="24">
        <f>-IF(AND(BI$4&gt;=RES1_EFF-EQUIP_MONTHS,BI$4&lt;RES1_EFF),RES_EQUIP/EQUIP_MONTHS,0)</f>
        <v/>
      </c>
      <c r="BJ18" s="24">
        <f>-IF(AND(BJ$4&gt;=RES1_EFF-EQUIP_MONTHS,BJ$4&lt;RES1_EFF),RES_EQUIP/EQUIP_MONTHS,0)</f>
        <v/>
      </c>
      <c r="BK18" s="24">
        <f>-IF(AND(BK$4&gt;=RES1_EFF-EQUIP_MONTHS,BK$4&lt;RES1_EFF),RES_EQUIP/EQUIP_MONTHS,0)</f>
        <v/>
      </c>
    </row>
    <row r="19">
      <c r="A19" s="14" t="inlineStr">
        <is>
          <t>Residence two, building works</t>
        </is>
      </c>
      <c r="B19" s="3" t="inlineStr"/>
      <c r="C19" s="2" t="n"/>
      <c r="D19" s="24">
        <f>-IF(AND(D$4&gt;=RES2_EFF-LEASE_LEAD,D$4&lt;RES2_EFF),RES_CONV/LEASE_LEAD,0)</f>
        <v/>
      </c>
      <c r="E19" s="24">
        <f>-IF(AND(E$4&gt;=RES2_EFF-LEASE_LEAD,E$4&lt;RES2_EFF),RES_CONV/LEASE_LEAD,0)</f>
        <v/>
      </c>
      <c r="F19" s="24">
        <f>-IF(AND(F$4&gt;=RES2_EFF-LEASE_LEAD,F$4&lt;RES2_EFF),RES_CONV/LEASE_LEAD,0)</f>
        <v/>
      </c>
      <c r="G19" s="24">
        <f>-IF(AND(G$4&gt;=RES2_EFF-LEASE_LEAD,G$4&lt;RES2_EFF),RES_CONV/LEASE_LEAD,0)</f>
        <v/>
      </c>
      <c r="H19" s="24">
        <f>-IF(AND(H$4&gt;=RES2_EFF-LEASE_LEAD,H$4&lt;RES2_EFF),RES_CONV/LEASE_LEAD,0)</f>
        <v/>
      </c>
      <c r="I19" s="24">
        <f>-IF(AND(I$4&gt;=RES2_EFF-LEASE_LEAD,I$4&lt;RES2_EFF),RES_CONV/LEASE_LEAD,0)</f>
        <v/>
      </c>
      <c r="J19" s="24">
        <f>-IF(AND(J$4&gt;=RES2_EFF-LEASE_LEAD,J$4&lt;RES2_EFF),RES_CONV/LEASE_LEAD,0)</f>
        <v/>
      </c>
      <c r="K19" s="24">
        <f>-IF(AND(K$4&gt;=RES2_EFF-LEASE_LEAD,K$4&lt;RES2_EFF),RES_CONV/LEASE_LEAD,0)</f>
        <v/>
      </c>
      <c r="L19" s="24">
        <f>-IF(AND(L$4&gt;=RES2_EFF-LEASE_LEAD,L$4&lt;RES2_EFF),RES_CONV/LEASE_LEAD,0)</f>
        <v/>
      </c>
      <c r="M19" s="24">
        <f>-IF(AND(M$4&gt;=RES2_EFF-LEASE_LEAD,M$4&lt;RES2_EFF),RES_CONV/LEASE_LEAD,0)</f>
        <v/>
      </c>
      <c r="N19" s="24">
        <f>-IF(AND(N$4&gt;=RES2_EFF-LEASE_LEAD,N$4&lt;RES2_EFF),RES_CONV/LEASE_LEAD,0)</f>
        <v/>
      </c>
      <c r="O19" s="24">
        <f>-IF(AND(O$4&gt;=RES2_EFF-LEASE_LEAD,O$4&lt;RES2_EFF),RES_CONV/LEASE_LEAD,0)</f>
        <v/>
      </c>
      <c r="P19" s="24">
        <f>-IF(AND(P$4&gt;=RES2_EFF-LEASE_LEAD,P$4&lt;RES2_EFF),RES_CONV/LEASE_LEAD,0)</f>
        <v/>
      </c>
      <c r="Q19" s="24">
        <f>-IF(AND(Q$4&gt;=RES2_EFF-LEASE_LEAD,Q$4&lt;RES2_EFF),RES_CONV/LEASE_LEAD,0)</f>
        <v/>
      </c>
      <c r="R19" s="24">
        <f>-IF(AND(R$4&gt;=RES2_EFF-LEASE_LEAD,R$4&lt;RES2_EFF),RES_CONV/LEASE_LEAD,0)</f>
        <v/>
      </c>
      <c r="S19" s="24">
        <f>-IF(AND(S$4&gt;=RES2_EFF-LEASE_LEAD,S$4&lt;RES2_EFF),RES_CONV/LEASE_LEAD,0)</f>
        <v/>
      </c>
      <c r="T19" s="24">
        <f>-IF(AND(T$4&gt;=RES2_EFF-LEASE_LEAD,T$4&lt;RES2_EFF),RES_CONV/LEASE_LEAD,0)</f>
        <v/>
      </c>
      <c r="U19" s="24">
        <f>-IF(AND(U$4&gt;=RES2_EFF-LEASE_LEAD,U$4&lt;RES2_EFF),RES_CONV/LEASE_LEAD,0)</f>
        <v/>
      </c>
      <c r="V19" s="24">
        <f>-IF(AND(V$4&gt;=RES2_EFF-LEASE_LEAD,V$4&lt;RES2_EFF),RES_CONV/LEASE_LEAD,0)</f>
        <v/>
      </c>
      <c r="W19" s="24">
        <f>-IF(AND(W$4&gt;=RES2_EFF-LEASE_LEAD,W$4&lt;RES2_EFF),RES_CONV/LEASE_LEAD,0)</f>
        <v/>
      </c>
      <c r="X19" s="24">
        <f>-IF(AND(X$4&gt;=RES2_EFF-LEASE_LEAD,X$4&lt;RES2_EFF),RES_CONV/LEASE_LEAD,0)</f>
        <v/>
      </c>
      <c r="Y19" s="24">
        <f>-IF(AND(Y$4&gt;=RES2_EFF-LEASE_LEAD,Y$4&lt;RES2_EFF),RES_CONV/LEASE_LEAD,0)</f>
        <v/>
      </c>
      <c r="Z19" s="24">
        <f>-IF(AND(Z$4&gt;=RES2_EFF-LEASE_LEAD,Z$4&lt;RES2_EFF),RES_CONV/LEASE_LEAD,0)</f>
        <v/>
      </c>
      <c r="AA19" s="24">
        <f>-IF(AND(AA$4&gt;=RES2_EFF-LEASE_LEAD,AA$4&lt;RES2_EFF),RES_CONV/LEASE_LEAD,0)</f>
        <v/>
      </c>
      <c r="AB19" s="24">
        <f>-IF(AND(AB$4&gt;=RES2_EFF-LEASE_LEAD,AB$4&lt;RES2_EFF),RES_CONV/LEASE_LEAD,0)</f>
        <v/>
      </c>
      <c r="AC19" s="24">
        <f>-IF(AND(AC$4&gt;=RES2_EFF-LEASE_LEAD,AC$4&lt;RES2_EFF),RES_CONV/LEASE_LEAD,0)</f>
        <v/>
      </c>
      <c r="AD19" s="24">
        <f>-IF(AND(AD$4&gt;=RES2_EFF-LEASE_LEAD,AD$4&lt;RES2_EFF),RES_CONV/LEASE_LEAD,0)</f>
        <v/>
      </c>
      <c r="AE19" s="24">
        <f>-IF(AND(AE$4&gt;=RES2_EFF-LEASE_LEAD,AE$4&lt;RES2_EFF),RES_CONV/LEASE_LEAD,0)</f>
        <v/>
      </c>
      <c r="AF19" s="24">
        <f>-IF(AND(AF$4&gt;=RES2_EFF-LEASE_LEAD,AF$4&lt;RES2_EFF),RES_CONV/LEASE_LEAD,0)</f>
        <v/>
      </c>
      <c r="AG19" s="24">
        <f>-IF(AND(AG$4&gt;=RES2_EFF-LEASE_LEAD,AG$4&lt;RES2_EFF),RES_CONV/LEASE_LEAD,0)</f>
        <v/>
      </c>
      <c r="AH19" s="24">
        <f>-IF(AND(AH$4&gt;=RES2_EFF-LEASE_LEAD,AH$4&lt;RES2_EFF),RES_CONV/LEASE_LEAD,0)</f>
        <v/>
      </c>
      <c r="AI19" s="24">
        <f>-IF(AND(AI$4&gt;=RES2_EFF-LEASE_LEAD,AI$4&lt;RES2_EFF),RES_CONV/LEASE_LEAD,0)</f>
        <v/>
      </c>
      <c r="AJ19" s="24">
        <f>-IF(AND(AJ$4&gt;=RES2_EFF-LEASE_LEAD,AJ$4&lt;RES2_EFF),RES_CONV/LEASE_LEAD,0)</f>
        <v/>
      </c>
      <c r="AK19" s="24">
        <f>-IF(AND(AK$4&gt;=RES2_EFF-LEASE_LEAD,AK$4&lt;RES2_EFF),RES_CONV/LEASE_LEAD,0)</f>
        <v/>
      </c>
      <c r="AL19" s="24">
        <f>-IF(AND(AL$4&gt;=RES2_EFF-LEASE_LEAD,AL$4&lt;RES2_EFF),RES_CONV/LEASE_LEAD,0)</f>
        <v/>
      </c>
      <c r="AM19" s="24">
        <f>-IF(AND(AM$4&gt;=RES2_EFF-LEASE_LEAD,AM$4&lt;RES2_EFF),RES_CONV/LEASE_LEAD,0)</f>
        <v/>
      </c>
      <c r="AN19" s="24">
        <f>-IF(AND(AN$4&gt;=RES2_EFF-LEASE_LEAD,AN$4&lt;RES2_EFF),RES_CONV/LEASE_LEAD,0)</f>
        <v/>
      </c>
      <c r="AO19" s="24">
        <f>-IF(AND(AO$4&gt;=RES2_EFF-LEASE_LEAD,AO$4&lt;RES2_EFF),RES_CONV/LEASE_LEAD,0)</f>
        <v/>
      </c>
      <c r="AP19" s="24">
        <f>-IF(AND(AP$4&gt;=RES2_EFF-LEASE_LEAD,AP$4&lt;RES2_EFF),RES_CONV/LEASE_LEAD,0)</f>
        <v/>
      </c>
      <c r="AQ19" s="24">
        <f>-IF(AND(AQ$4&gt;=RES2_EFF-LEASE_LEAD,AQ$4&lt;RES2_EFF),RES_CONV/LEASE_LEAD,0)</f>
        <v/>
      </c>
      <c r="AR19" s="24">
        <f>-IF(AND(AR$4&gt;=RES2_EFF-LEASE_LEAD,AR$4&lt;RES2_EFF),RES_CONV/LEASE_LEAD,0)</f>
        <v/>
      </c>
      <c r="AS19" s="24">
        <f>-IF(AND(AS$4&gt;=RES2_EFF-LEASE_LEAD,AS$4&lt;RES2_EFF),RES_CONV/LEASE_LEAD,0)</f>
        <v/>
      </c>
      <c r="AT19" s="24">
        <f>-IF(AND(AT$4&gt;=RES2_EFF-LEASE_LEAD,AT$4&lt;RES2_EFF),RES_CONV/LEASE_LEAD,0)</f>
        <v/>
      </c>
      <c r="AU19" s="24">
        <f>-IF(AND(AU$4&gt;=RES2_EFF-LEASE_LEAD,AU$4&lt;RES2_EFF),RES_CONV/LEASE_LEAD,0)</f>
        <v/>
      </c>
      <c r="AV19" s="24">
        <f>-IF(AND(AV$4&gt;=RES2_EFF-LEASE_LEAD,AV$4&lt;RES2_EFF),RES_CONV/LEASE_LEAD,0)</f>
        <v/>
      </c>
      <c r="AW19" s="24">
        <f>-IF(AND(AW$4&gt;=RES2_EFF-LEASE_LEAD,AW$4&lt;RES2_EFF),RES_CONV/LEASE_LEAD,0)</f>
        <v/>
      </c>
      <c r="AX19" s="24">
        <f>-IF(AND(AX$4&gt;=RES2_EFF-LEASE_LEAD,AX$4&lt;RES2_EFF),RES_CONV/LEASE_LEAD,0)</f>
        <v/>
      </c>
      <c r="AY19" s="24">
        <f>-IF(AND(AY$4&gt;=RES2_EFF-LEASE_LEAD,AY$4&lt;RES2_EFF),RES_CONV/LEASE_LEAD,0)</f>
        <v/>
      </c>
      <c r="AZ19" s="24">
        <f>-IF(AND(AZ$4&gt;=RES2_EFF-LEASE_LEAD,AZ$4&lt;RES2_EFF),RES_CONV/LEASE_LEAD,0)</f>
        <v/>
      </c>
      <c r="BA19" s="24">
        <f>-IF(AND(BA$4&gt;=RES2_EFF-LEASE_LEAD,BA$4&lt;RES2_EFF),RES_CONV/LEASE_LEAD,0)</f>
        <v/>
      </c>
      <c r="BB19" s="24">
        <f>-IF(AND(BB$4&gt;=RES2_EFF-LEASE_LEAD,BB$4&lt;RES2_EFF),RES_CONV/LEASE_LEAD,0)</f>
        <v/>
      </c>
      <c r="BC19" s="24">
        <f>-IF(AND(BC$4&gt;=RES2_EFF-LEASE_LEAD,BC$4&lt;RES2_EFF),RES_CONV/LEASE_LEAD,0)</f>
        <v/>
      </c>
      <c r="BD19" s="24">
        <f>-IF(AND(BD$4&gt;=RES2_EFF-LEASE_LEAD,BD$4&lt;RES2_EFF),RES_CONV/LEASE_LEAD,0)</f>
        <v/>
      </c>
      <c r="BE19" s="24">
        <f>-IF(AND(BE$4&gt;=RES2_EFF-LEASE_LEAD,BE$4&lt;RES2_EFF),RES_CONV/LEASE_LEAD,0)</f>
        <v/>
      </c>
      <c r="BF19" s="24">
        <f>-IF(AND(BF$4&gt;=RES2_EFF-LEASE_LEAD,BF$4&lt;RES2_EFF),RES_CONV/LEASE_LEAD,0)</f>
        <v/>
      </c>
      <c r="BG19" s="24">
        <f>-IF(AND(BG$4&gt;=RES2_EFF-LEASE_LEAD,BG$4&lt;RES2_EFF),RES_CONV/LEASE_LEAD,0)</f>
        <v/>
      </c>
      <c r="BH19" s="24">
        <f>-IF(AND(BH$4&gt;=RES2_EFF-LEASE_LEAD,BH$4&lt;RES2_EFF),RES_CONV/LEASE_LEAD,0)</f>
        <v/>
      </c>
      <c r="BI19" s="24">
        <f>-IF(AND(BI$4&gt;=RES2_EFF-LEASE_LEAD,BI$4&lt;RES2_EFF),RES_CONV/LEASE_LEAD,0)</f>
        <v/>
      </c>
      <c r="BJ19" s="24">
        <f>-IF(AND(BJ$4&gt;=RES2_EFF-LEASE_LEAD,BJ$4&lt;RES2_EFF),RES_CONV/LEASE_LEAD,0)</f>
        <v/>
      </c>
      <c r="BK19" s="24">
        <f>-IF(AND(BK$4&gt;=RES2_EFF-LEASE_LEAD,BK$4&lt;RES2_EFF),RES_CONV/LEASE_LEAD,0)</f>
        <v/>
      </c>
    </row>
    <row r="20">
      <c r="A20" s="14" t="inlineStr">
        <is>
          <t>Residence two, equipment and pre-opening</t>
        </is>
      </c>
      <c r="B20" s="3" t="inlineStr"/>
      <c r="C20" s="2" t="n"/>
      <c r="D20" s="24">
        <f>-IF(AND(D$4&gt;=RES2_EFF-EQUIP_MONTHS,D$4&lt;RES2_EFF),RES_EQUIP/EQUIP_MONTHS,0)</f>
        <v/>
      </c>
      <c r="E20" s="24">
        <f>-IF(AND(E$4&gt;=RES2_EFF-EQUIP_MONTHS,E$4&lt;RES2_EFF),RES_EQUIP/EQUIP_MONTHS,0)</f>
        <v/>
      </c>
      <c r="F20" s="24">
        <f>-IF(AND(F$4&gt;=RES2_EFF-EQUIP_MONTHS,F$4&lt;RES2_EFF),RES_EQUIP/EQUIP_MONTHS,0)</f>
        <v/>
      </c>
      <c r="G20" s="24">
        <f>-IF(AND(G$4&gt;=RES2_EFF-EQUIP_MONTHS,G$4&lt;RES2_EFF),RES_EQUIP/EQUIP_MONTHS,0)</f>
        <v/>
      </c>
      <c r="H20" s="24">
        <f>-IF(AND(H$4&gt;=RES2_EFF-EQUIP_MONTHS,H$4&lt;RES2_EFF),RES_EQUIP/EQUIP_MONTHS,0)</f>
        <v/>
      </c>
      <c r="I20" s="24">
        <f>-IF(AND(I$4&gt;=RES2_EFF-EQUIP_MONTHS,I$4&lt;RES2_EFF),RES_EQUIP/EQUIP_MONTHS,0)</f>
        <v/>
      </c>
      <c r="J20" s="24">
        <f>-IF(AND(J$4&gt;=RES2_EFF-EQUIP_MONTHS,J$4&lt;RES2_EFF),RES_EQUIP/EQUIP_MONTHS,0)</f>
        <v/>
      </c>
      <c r="K20" s="24">
        <f>-IF(AND(K$4&gt;=RES2_EFF-EQUIP_MONTHS,K$4&lt;RES2_EFF),RES_EQUIP/EQUIP_MONTHS,0)</f>
        <v/>
      </c>
      <c r="L20" s="24">
        <f>-IF(AND(L$4&gt;=RES2_EFF-EQUIP_MONTHS,L$4&lt;RES2_EFF),RES_EQUIP/EQUIP_MONTHS,0)</f>
        <v/>
      </c>
      <c r="M20" s="24">
        <f>-IF(AND(M$4&gt;=RES2_EFF-EQUIP_MONTHS,M$4&lt;RES2_EFF),RES_EQUIP/EQUIP_MONTHS,0)</f>
        <v/>
      </c>
      <c r="N20" s="24">
        <f>-IF(AND(N$4&gt;=RES2_EFF-EQUIP_MONTHS,N$4&lt;RES2_EFF),RES_EQUIP/EQUIP_MONTHS,0)</f>
        <v/>
      </c>
      <c r="O20" s="24">
        <f>-IF(AND(O$4&gt;=RES2_EFF-EQUIP_MONTHS,O$4&lt;RES2_EFF),RES_EQUIP/EQUIP_MONTHS,0)</f>
        <v/>
      </c>
      <c r="P20" s="24">
        <f>-IF(AND(P$4&gt;=RES2_EFF-EQUIP_MONTHS,P$4&lt;RES2_EFF),RES_EQUIP/EQUIP_MONTHS,0)</f>
        <v/>
      </c>
      <c r="Q20" s="24">
        <f>-IF(AND(Q$4&gt;=RES2_EFF-EQUIP_MONTHS,Q$4&lt;RES2_EFF),RES_EQUIP/EQUIP_MONTHS,0)</f>
        <v/>
      </c>
      <c r="R20" s="24">
        <f>-IF(AND(R$4&gt;=RES2_EFF-EQUIP_MONTHS,R$4&lt;RES2_EFF),RES_EQUIP/EQUIP_MONTHS,0)</f>
        <v/>
      </c>
      <c r="S20" s="24">
        <f>-IF(AND(S$4&gt;=RES2_EFF-EQUIP_MONTHS,S$4&lt;RES2_EFF),RES_EQUIP/EQUIP_MONTHS,0)</f>
        <v/>
      </c>
      <c r="T20" s="24">
        <f>-IF(AND(T$4&gt;=RES2_EFF-EQUIP_MONTHS,T$4&lt;RES2_EFF),RES_EQUIP/EQUIP_MONTHS,0)</f>
        <v/>
      </c>
      <c r="U20" s="24">
        <f>-IF(AND(U$4&gt;=RES2_EFF-EQUIP_MONTHS,U$4&lt;RES2_EFF),RES_EQUIP/EQUIP_MONTHS,0)</f>
        <v/>
      </c>
      <c r="V20" s="24">
        <f>-IF(AND(V$4&gt;=RES2_EFF-EQUIP_MONTHS,V$4&lt;RES2_EFF),RES_EQUIP/EQUIP_MONTHS,0)</f>
        <v/>
      </c>
      <c r="W20" s="24">
        <f>-IF(AND(W$4&gt;=RES2_EFF-EQUIP_MONTHS,W$4&lt;RES2_EFF),RES_EQUIP/EQUIP_MONTHS,0)</f>
        <v/>
      </c>
      <c r="X20" s="24">
        <f>-IF(AND(X$4&gt;=RES2_EFF-EQUIP_MONTHS,X$4&lt;RES2_EFF),RES_EQUIP/EQUIP_MONTHS,0)</f>
        <v/>
      </c>
      <c r="Y20" s="24">
        <f>-IF(AND(Y$4&gt;=RES2_EFF-EQUIP_MONTHS,Y$4&lt;RES2_EFF),RES_EQUIP/EQUIP_MONTHS,0)</f>
        <v/>
      </c>
      <c r="Z20" s="24">
        <f>-IF(AND(Z$4&gt;=RES2_EFF-EQUIP_MONTHS,Z$4&lt;RES2_EFF),RES_EQUIP/EQUIP_MONTHS,0)</f>
        <v/>
      </c>
      <c r="AA20" s="24">
        <f>-IF(AND(AA$4&gt;=RES2_EFF-EQUIP_MONTHS,AA$4&lt;RES2_EFF),RES_EQUIP/EQUIP_MONTHS,0)</f>
        <v/>
      </c>
      <c r="AB20" s="24">
        <f>-IF(AND(AB$4&gt;=RES2_EFF-EQUIP_MONTHS,AB$4&lt;RES2_EFF),RES_EQUIP/EQUIP_MONTHS,0)</f>
        <v/>
      </c>
      <c r="AC20" s="24">
        <f>-IF(AND(AC$4&gt;=RES2_EFF-EQUIP_MONTHS,AC$4&lt;RES2_EFF),RES_EQUIP/EQUIP_MONTHS,0)</f>
        <v/>
      </c>
      <c r="AD20" s="24">
        <f>-IF(AND(AD$4&gt;=RES2_EFF-EQUIP_MONTHS,AD$4&lt;RES2_EFF),RES_EQUIP/EQUIP_MONTHS,0)</f>
        <v/>
      </c>
      <c r="AE20" s="24">
        <f>-IF(AND(AE$4&gt;=RES2_EFF-EQUIP_MONTHS,AE$4&lt;RES2_EFF),RES_EQUIP/EQUIP_MONTHS,0)</f>
        <v/>
      </c>
      <c r="AF20" s="24">
        <f>-IF(AND(AF$4&gt;=RES2_EFF-EQUIP_MONTHS,AF$4&lt;RES2_EFF),RES_EQUIP/EQUIP_MONTHS,0)</f>
        <v/>
      </c>
      <c r="AG20" s="24">
        <f>-IF(AND(AG$4&gt;=RES2_EFF-EQUIP_MONTHS,AG$4&lt;RES2_EFF),RES_EQUIP/EQUIP_MONTHS,0)</f>
        <v/>
      </c>
      <c r="AH20" s="24">
        <f>-IF(AND(AH$4&gt;=RES2_EFF-EQUIP_MONTHS,AH$4&lt;RES2_EFF),RES_EQUIP/EQUIP_MONTHS,0)</f>
        <v/>
      </c>
      <c r="AI20" s="24">
        <f>-IF(AND(AI$4&gt;=RES2_EFF-EQUIP_MONTHS,AI$4&lt;RES2_EFF),RES_EQUIP/EQUIP_MONTHS,0)</f>
        <v/>
      </c>
      <c r="AJ20" s="24">
        <f>-IF(AND(AJ$4&gt;=RES2_EFF-EQUIP_MONTHS,AJ$4&lt;RES2_EFF),RES_EQUIP/EQUIP_MONTHS,0)</f>
        <v/>
      </c>
      <c r="AK20" s="24">
        <f>-IF(AND(AK$4&gt;=RES2_EFF-EQUIP_MONTHS,AK$4&lt;RES2_EFF),RES_EQUIP/EQUIP_MONTHS,0)</f>
        <v/>
      </c>
      <c r="AL20" s="24">
        <f>-IF(AND(AL$4&gt;=RES2_EFF-EQUIP_MONTHS,AL$4&lt;RES2_EFF),RES_EQUIP/EQUIP_MONTHS,0)</f>
        <v/>
      </c>
      <c r="AM20" s="24">
        <f>-IF(AND(AM$4&gt;=RES2_EFF-EQUIP_MONTHS,AM$4&lt;RES2_EFF),RES_EQUIP/EQUIP_MONTHS,0)</f>
        <v/>
      </c>
      <c r="AN20" s="24">
        <f>-IF(AND(AN$4&gt;=RES2_EFF-EQUIP_MONTHS,AN$4&lt;RES2_EFF),RES_EQUIP/EQUIP_MONTHS,0)</f>
        <v/>
      </c>
      <c r="AO20" s="24">
        <f>-IF(AND(AO$4&gt;=RES2_EFF-EQUIP_MONTHS,AO$4&lt;RES2_EFF),RES_EQUIP/EQUIP_MONTHS,0)</f>
        <v/>
      </c>
      <c r="AP20" s="24">
        <f>-IF(AND(AP$4&gt;=RES2_EFF-EQUIP_MONTHS,AP$4&lt;RES2_EFF),RES_EQUIP/EQUIP_MONTHS,0)</f>
        <v/>
      </c>
      <c r="AQ20" s="24">
        <f>-IF(AND(AQ$4&gt;=RES2_EFF-EQUIP_MONTHS,AQ$4&lt;RES2_EFF),RES_EQUIP/EQUIP_MONTHS,0)</f>
        <v/>
      </c>
      <c r="AR20" s="24">
        <f>-IF(AND(AR$4&gt;=RES2_EFF-EQUIP_MONTHS,AR$4&lt;RES2_EFF),RES_EQUIP/EQUIP_MONTHS,0)</f>
        <v/>
      </c>
      <c r="AS20" s="24">
        <f>-IF(AND(AS$4&gt;=RES2_EFF-EQUIP_MONTHS,AS$4&lt;RES2_EFF),RES_EQUIP/EQUIP_MONTHS,0)</f>
        <v/>
      </c>
      <c r="AT20" s="24">
        <f>-IF(AND(AT$4&gt;=RES2_EFF-EQUIP_MONTHS,AT$4&lt;RES2_EFF),RES_EQUIP/EQUIP_MONTHS,0)</f>
        <v/>
      </c>
      <c r="AU20" s="24">
        <f>-IF(AND(AU$4&gt;=RES2_EFF-EQUIP_MONTHS,AU$4&lt;RES2_EFF),RES_EQUIP/EQUIP_MONTHS,0)</f>
        <v/>
      </c>
      <c r="AV20" s="24">
        <f>-IF(AND(AV$4&gt;=RES2_EFF-EQUIP_MONTHS,AV$4&lt;RES2_EFF),RES_EQUIP/EQUIP_MONTHS,0)</f>
        <v/>
      </c>
      <c r="AW20" s="24">
        <f>-IF(AND(AW$4&gt;=RES2_EFF-EQUIP_MONTHS,AW$4&lt;RES2_EFF),RES_EQUIP/EQUIP_MONTHS,0)</f>
        <v/>
      </c>
      <c r="AX20" s="24">
        <f>-IF(AND(AX$4&gt;=RES2_EFF-EQUIP_MONTHS,AX$4&lt;RES2_EFF),RES_EQUIP/EQUIP_MONTHS,0)</f>
        <v/>
      </c>
      <c r="AY20" s="24">
        <f>-IF(AND(AY$4&gt;=RES2_EFF-EQUIP_MONTHS,AY$4&lt;RES2_EFF),RES_EQUIP/EQUIP_MONTHS,0)</f>
        <v/>
      </c>
      <c r="AZ20" s="24">
        <f>-IF(AND(AZ$4&gt;=RES2_EFF-EQUIP_MONTHS,AZ$4&lt;RES2_EFF),RES_EQUIP/EQUIP_MONTHS,0)</f>
        <v/>
      </c>
      <c r="BA20" s="24">
        <f>-IF(AND(BA$4&gt;=RES2_EFF-EQUIP_MONTHS,BA$4&lt;RES2_EFF),RES_EQUIP/EQUIP_MONTHS,0)</f>
        <v/>
      </c>
      <c r="BB20" s="24">
        <f>-IF(AND(BB$4&gt;=RES2_EFF-EQUIP_MONTHS,BB$4&lt;RES2_EFF),RES_EQUIP/EQUIP_MONTHS,0)</f>
        <v/>
      </c>
      <c r="BC20" s="24">
        <f>-IF(AND(BC$4&gt;=RES2_EFF-EQUIP_MONTHS,BC$4&lt;RES2_EFF),RES_EQUIP/EQUIP_MONTHS,0)</f>
        <v/>
      </c>
      <c r="BD20" s="24">
        <f>-IF(AND(BD$4&gt;=RES2_EFF-EQUIP_MONTHS,BD$4&lt;RES2_EFF),RES_EQUIP/EQUIP_MONTHS,0)</f>
        <v/>
      </c>
      <c r="BE20" s="24">
        <f>-IF(AND(BE$4&gt;=RES2_EFF-EQUIP_MONTHS,BE$4&lt;RES2_EFF),RES_EQUIP/EQUIP_MONTHS,0)</f>
        <v/>
      </c>
      <c r="BF20" s="24">
        <f>-IF(AND(BF$4&gt;=RES2_EFF-EQUIP_MONTHS,BF$4&lt;RES2_EFF),RES_EQUIP/EQUIP_MONTHS,0)</f>
        <v/>
      </c>
      <c r="BG20" s="24">
        <f>-IF(AND(BG$4&gt;=RES2_EFF-EQUIP_MONTHS,BG$4&lt;RES2_EFF),RES_EQUIP/EQUIP_MONTHS,0)</f>
        <v/>
      </c>
      <c r="BH20" s="24">
        <f>-IF(AND(BH$4&gt;=RES2_EFF-EQUIP_MONTHS,BH$4&lt;RES2_EFF),RES_EQUIP/EQUIP_MONTHS,0)</f>
        <v/>
      </c>
      <c r="BI20" s="24">
        <f>-IF(AND(BI$4&gt;=RES2_EFF-EQUIP_MONTHS,BI$4&lt;RES2_EFF),RES_EQUIP/EQUIP_MONTHS,0)</f>
        <v/>
      </c>
      <c r="BJ20" s="24">
        <f>-IF(AND(BJ$4&gt;=RES2_EFF-EQUIP_MONTHS,BJ$4&lt;RES2_EFF),RES_EQUIP/EQUIP_MONTHS,0)</f>
        <v/>
      </c>
      <c r="BK20" s="24">
        <f>-IF(AND(BK$4&gt;=RES2_EFF-EQUIP_MONTHS,BK$4&lt;RES2_EFF),RES_EQUIP/EQUIP_MONTHS,0)</f>
        <v/>
      </c>
    </row>
    <row r="21">
      <c r="A21" s="14" t="inlineStr">
        <is>
          <t>Mortuary build</t>
        </is>
      </c>
      <c r="B21" s="3" t="inlineStr"/>
      <c r="C21" s="2" t="n"/>
      <c r="D21" s="24">
        <f>-IF(AND(D$4&gt;=MBUILD_M,D$4&lt;MBUILD_M+MBUILD_N),MBUILD/MBUILD_N,0)</f>
        <v/>
      </c>
      <c r="E21" s="24">
        <f>-IF(AND(E$4&gt;=MBUILD_M,E$4&lt;MBUILD_M+MBUILD_N),MBUILD/MBUILD_N,0)</f>
        <v/>
      </c>
      <c r="F21" s="24">
        <f>-IF(AND(F$4&gt;=MBUILD_M,F$4&lt;MBUILD_M+MBUILD_N),MBUILD/MBUILD_N,0)</f>
        <v/>
      </c>
      <c r="G21" s="24">
        <f>-IF(AND(G$4&gt;=MBUILD_M,G$4&lt;MBUILD_M+MBUILD_N),MBUILD/MBUILD_N,0)</f>
        <v/>
      </c>
      <c r="H21" s="24">
        <f>-IF(AND(H$4&gt;=MBUILD_M,H$4&lt;MBUILD_M+MBUILD_N),MBUILD/MBUILD_N,0)</f>
        <v/>
      </c>
      <c r="I21" s="24">
        <f>-IF(AND(I$4&gt;=MBUILD_M,I$4&lt;MBUILD_M+MBUILD_N),MBUILD/MBUILD_N,0)</f>
        <v/>
      </c>
      <c r="J21" s="24">
        <f>-IF(AND(J$4&gt;=MBUILD_M,J$4&lt;MBUILD_M+MBUILD_N),MBUILD/MBUILD_N,0)</f>
        <v/>
      </c>
      <c r="K21" s="24">
        <f>-IF(AND(K$4&gt;=MBUILD_M,K$4&lt;MBUILD_M+MBUILD_N),MBUILD/MBUILD_N,0)</f>
        <v/>
      </c>
      <c r="L21" s="24">
        <f>-IF(AND(L$4&gt;=MBUILD_M,L$4&lt;MBUILD_M+MBUILD_N),MBUILD/MBUILD_N,0)</f>
        <v/>
      </c>
      <c r="M21" s="24">
        <f>-IF(AND(M$4&gt;=MBUILD_M,M$4&lt;MBUILD_M+MBUILD_N),MBUILD/MBUILD_N,0)</f>
        <v/>
      </c>
      <c r="N21" s="24">
        <f>-IF(AND(N$4&gt;=MBUILD_M,N$4&lt;MBUILD_M+MBUILD_N),MBUILD/MBUILD_N,0)</f>
        <v/>
      </c>
      <c r="O21" s="24">
        <f>-IF(AND(O$4&gt;=MBUILD_M,O$4&lt;MBUILD_M+MBUILD_N),MBUILD/MBUILD_N,0)</f>
        <v/>
      </c>
      <c r="P21" s="24">
        <f>-IF(AND(P$4&gt;=MBUILD_M,P$4&lt;MBUILD_M+MBUILD_N),MBUILD/MBUILD_N,0)</f>
        <v/>
      </c>
      <c r="Q21" s="24">
        <f>-IF(AND(Q$4&gt;=MBUILD_M,Q$4&lt;MBUILD_M+MBUILD_N),MBUILD/MBUILD_N,0)</f>
        <v/>
      </c>
      <c r="R21" s="24">
        <f>-IF(AND(R$4&gt;=MBUILD_M,R$4&lt;MBUILD_M+MBUILD_N),MBUILD/MBUILD_N,0)</f>
        <v/>
      </c>
      <c r="S21" s="24">
        <f>-IF(AND(S$4&gt;=MBUILD_M,S$4&lt;MBUILD_M+MBUILD_N),MBUILD/MBUILD_N,0)</f>
        <v/>
      </c>
      <c r="T21" s="24">
        <f>-IF(AND(T$4&gt;=MBUILD_M,T$4&lt;MBUILD_M+MBUILD_N),MBUILD/MBUILD_N,0)</f>
        <v/>
      </c>
      <c r="U21" s="24">
        <f>-IF(AND(U$4&gt;=MBUILD_M,U$4&lt;MBUILD_M+MBUILD_N),MBUILD/MBUILD_N,0)</f>
        <v/>
      </c>
      <c r="V21" s="24">
        <f>-IF(AND(V$4&gt;=MBUILD_M,V$4&lt;MBUILD_M+MBUILD_N),MBUILD/MBUILD_N,0)</f>
        <v/>
      </c>
      <c r="W21" s="24">
        <f>-IF(AND(W$4&gt;=MBUILD_M,W$4&lt;MBUILD_M+MBUILD_N),MBUILD/MBUILD_N,0)</f>
        <v/>
      </c>
      <c r="X21" s="24">
        <f>-IF(AND(X$4&gt;=MBUILD_M,X$4&lt;MBUILD_M+MBUILD_N),MBUILD/MBUILD_N,0)</f>
        <v/>
      </c>
      <c r="Y21" s="24">
        <f>-IF(AND(Y$4&gt;=MBUILD_M,Y$4&lt;MBUILD_M+MBUILD_N),MBUILD/MBUILD_N,0)</f>
        <v/>
      </c>
      <c r="Z21" s="24">
        <f>-IF(AND(Z$4&gt;=MBUILD_M,Z$4&lt;MBUILD_M+MBUILD_N),MBUILD/MBUILD_N,0)</f>
        <v/>
      </c>
      <c r="AA21" s="24">
        <f>-IF(AND(AA$4&gt;=MBUILD_M,AA$4&lt;MBUILD_M+MBUILD_N),MBUILD/MBUILD_N,0)</f>
        <v/>
      </c>
      <c r="AB21" s="24">
        <f>-IF(AND(AB$4&gt;=MBUILD_M,AB$4&lt;MBUILD_M+MBUILD_N),MBUILD/MBUILD_N,0)</f>
        <v/>
      </c>
      <c r="AC21" s="24">
        <f>-IF(AND(AC$4&gt;=MBUILD_M,AC$4&lt;MBUILD_M+MBUILD_N),MBUILD/MBUILD_N,0)</f>
        <v/>
      </c>
      <c r="AD21" s="24">
        <f>-IF(AND(AD$4&gt;=MBUILD_M,AD$4&lt;MBUILD_M+MBUILD_N),MBUILD/MBUILD_N,0)</f>
        <v/>
      </c>
      <c r="AE21" s="24">
        <f>-IF(AND(AE$4&gt;=MBUILD_M,AE$4&lt;MBUILD_M+MBUILD_N),MBUILD/MBUILD_N,0)</f>
        <v/>
      </c>
      <c r="AF21" s="24">
        <f>-IF(AND(AF$4&gt;=MBUILD_M,AF$4&lt;MBUILD_M+MBUILD_N),MBUILD/MBUILD_N,0)</f>
        <v/>
      </c>
      <c r="AG21" s="24">
        <f>-IF(AND(AG$4&gt;=MBUILD_M,AG$4&lt;MBUILD_M+MBUILD_N),MBUILD/MBUILD_N,0)</f>
        <v/>
      </c>
      <c r="AH21" s="24">
        <f>-IF(AND(AH$4&gt;=MBUILD_M,AH$4&lt;MBUILD_M+MBUILD_N),MBUILD/MBUILD_N,0)</f>
        <v/>
      </c>
      <c r="AI21" s="24">
        <f>-IF(AND(AI$4&gt;=MBUILD_M,AI$4&lt;MBUILD_M+MBUILD_N),MBUILD/MBUILD_N,0)</f>
        <v/>
      </c>
      <c r="AJ21" s="24">
        <f>-IF(AND(AJ$4&gt;=MBUILD_M,AJ$4&lt;MBUILD_M+MBUILD_N),MBUILD/MBUILD_N,0)</f>
        <v/>
      </c>
      <c r="AK21" s="24">
        <f>-IF(AND(AK$4&gt;=MBUILD_M,AK$4&lt;MBUILD_M+MBUILD_N),MBUILD/MBUILD_N,0)</f>
        <v/>
      </c>
      <c r="AL21" s="24">
        <f>-IF(AND(AL$4&gt;=MBUILD_M,AL$4&lt;MBUILD_M+MBUILD_N),MBUILD/MBUILD_N,0)</f>
        <v/>
      </c>
      <c r="AM21" s="24">
        <f>-IF(AND(AM$4&gt;=MBUILD_M,AM$4&lt;MBUILD_M+MBUILD_N),MBUILD/MBUILD_N,0)</f>
        <v/>
      </c>
      <c r="AN21" s="24">
        <f>-IF(AND(AN$4&gt;=MBUILD_M,AN$4&lt;MBUILD_M+MBUILD_N),MBUILD/MBUILD_N,0)</f>
        <v/>
      </c>
      <c r="AO21" s="24">
        <f>-IF(AND(AO$4&gt;=MBUILD_M,AO$4&lt;MBUILD_M+MBUILD_N),MBUILD/MBUILD_N,0)</f>
        <v/>
      </c>
      <c r="AP21" s="24">
        <f>-IF(AND(AP$4&gt;=MBUILD_M,AP$4&lt;MBUILD_M+MBUILD_N),MBUILD/MBUILD_N,0)</f>
        <v/>
      </c>
      <c r="AQ21" s="24">
        <f>-IF(AND(AQ$4&gt;=MBUILD_M,AQ$4&lt;MBUILD_M+MBUILD_N),MBUILD/MBUILD_N,0)</f>
        <v/>
      </c>
      <c r="AR21" s="24">
        <f>-IF(AND(AR$4&gt;=MBUILD_M,AR$4&lt;MBUILD_M+MBUILD_N),MBUILD/MBUILD_N,0)</f>
        <v/>
      </c>
      <c r="AS21" s="24">
        <f>-IF(AND(AS$4&gt;=MBUILD_M,AS$4&lt;MBUILD_M+MBUILD_N),MBUILD/MBUILD_N,0)</f>
        <v/>
      </c>
      <c r="AT21" s="24">
        <f>-IF(AND(AT$4&gt;=MBUILD_M,AT$4&lt;MBUILD_M+MBUILD_N),MBUILD/MBUILD_N,0)</f>
        <v/>
      </c>
      <c r="AU21" s="24">
        <f>-IF(AND(AU$4&gt;=MBUILD_M,AU$4&lt;MBUILD_M+MBUILD_N),MBUILD/MBUILD_N,0)</f>
        <v/>
      </c>
      <c r="AV21" s="24">
        <f>-IF(AND(AV$4&gt;=MBUILD_M,AV$4&lt;MBUILD_M+MBUILD_N),MBUILD/MBUILD_N,0)</f>
        <v/>
      </c>
      <c r="AW21" s="24">
        <f>-IF(AND(AW$4&gt;=MBUILD_M,AW$4&lt;MBUILD_M+MBUILD_N),MBUILD/MBUILD_N,0)</f>
        <v/>
      </c>
      <c r="AX21" s="24">
        <f>-IF(AND(AX$4&gt;=MBUILD_M,AX$4&lt;MBUILD_M+MBUILD_N),MBUILD/MBUILD_N,0)</f>
        <v/>
      </c>
      <c r="AY21" s="24">
        <f>-IF(AND(AY$4&gt;=MBUILD_M,AY$4&lt;MBUILD_M+MBUILD_N),MBUILD/MBUILD_N,0)</f>
        <v/>
      </c>
      <c r="AZ21" s="24">
        <f>-IF(AND(AZ$4&gt;=MBUILD_M,AZ$4&lt;MBUILD_M+MBUILD_N),MBUILD/MBUILD_N,0)</f>
        <v/>
      </c>
      <c r="BA21" s="24">
        <f>-IF(AND(BA$4&gt;=MBUILD_M,BA$4&lt;MBUILD_M+MBUILD_N),MBUILD/MBUILD_N,0)</f>
        <v/>
      </c>
      <c r="BB21" s="24">
        <f>-IF(AND(BB$4&gt;=MBUILD_M,BB$4&lt;MBUILD_M+MBUILD_N),MBUILD/MBUILD_N,0)</f>
        <v/>
      </c>
      <c r="BC21" s="24">
        <f>-IF(AND(BC$4&gt;=MBUILD_M,BC$4&lt;MBUILD_M+MBUILD_N),MBUILD/MBUILD_N,0)</f>
        <v/>
      </c>
      <c r="BD21" s="24">
        <f>-IF(AND(BD$4&gt;=MBUILD_M,BD$4&lt;MBUILD_M+MBUILD_N),MBUILD/MBUILD_N,0)</f>
        <v/>
      </c>
      <c r="BE21" s="24">
        <f>-IF(AND(BE$4&gt;=MBUILD_M,BE$4&lt;MBUILD_M+MBUILD_N),MBUILD/MBUILD_N,0)</f>
        <v/>
      </c>
      <c r="BF21" s="24">
        <f>-IF(AND(BF$4&gt;=MBUILD_M,BF$4&lt;MBUILD_M+MBUILD_N),MBUILD/MBUILD_N,0)</f>
        <v/>
      </c>
      <c r="BG21" s="24">
        <f>-IF(AND(BG$4&gt;=MBUILD_M,BG$4&lt;MBUILD_M+MBUILD_N),MBUILD/MBUILD_N,0)</f>
        <v/>
      </c>
      <c r="BH21" s="24">
        <f>-IF(AND(BH$4&gt;=MBUILD_M,BH$4&lt;MBUILD_M+MBUILD_N),MBUILD/MBUILD_N,0)</f>
        <v/>
      </c>
      <c r="BI21" s="24">
        <f>-IF(AND(BI$4&gt;=MBUILD_M,BI$4&lt;MBUILD_M+MBUILD_N),MBUILD/MBUILD_N,0)</f>
        <v/>
      </c>
      <c r="BJ21" s="24">
        <f>-IF(AND(BJ$4&gt;=MBUILD_M,BJ$4&lt;MBUILD_M+MBUILD_N),MBUILD/MBUILD_N,0)</f>
        <v/>
      </c>
      <c r="BK21" s="24">
        <f>-IF(AND(BK$4&gt;=MBUILD_M,BK$4&lt;MBUILD_M+MBUILD_N),MBUILD/MBUILD_N,0)</f>
        <v/>
      </c>
    </row>
    <row r="22">
      <c r="A22" s="14" t="inlineStr">
        <is>
          <t>Autopsy suite</t>
        </is>
      </c>
      <c r="B22" s="3" t="inlineStr"/>
      <c r="C22" s="2" t="n"/>
      <c r="D22" s="24">
        <f>-IF(D$4=AUTCAP_M,AUTCAP,0)</f>
        <v/>
      </c>
      <c r="E22" s="24">
        <f>-IF(E$4=AUTCAP_M,AUTCAP,0)</f>
        <v/>
      </c>
      <c r="F22" s="24">
        <f>-IF(F$4=AUTCAP_M,AUTCAP,0)</f>
        <v/>
      </c>
      <c r="G22" s="24">
        <f>-IF(G$4=AUTCAP_M,AUTCAP,0)</f>
        <v/>
      </c>
      <c r="H22" s="24">
        <f>-IF(H$4=AUTCAP_M,AUTCAP,0)</f>
        <v/>
      </c>
      <c r="I22" s="24">
        <f>-IF(I$4=AUTCAP_M,AUTCAP,0)</f>
        <v/>
      </c>
      <c r="J22" s="24">
        <f>-IF(J$4=AUTCAP_M,AUTCAP,0)</f>
        <v/>
      </c>
      <c r="K22" s="24">
        <f>-IF(K$4=AUTCAP_M,AUTCAP,0)</f>
        <v/>
      </c>
      <c r="L22" s="24">
        <f>-IF(L$4=AUTCAP_M,AUTCAP,0)</f>
        <v/>
      </c>
      <c r="M22" s="24">
        <f>-IF(M$4=AUTCAP_M,AUTCAP,0)</f>
        <v/>
      </c>
      <c r="N22" s="24">
        <f>-IF(N$4=AUTCAP_M,AUTCAP,0)</f>
        <v/>
      </c>
      <c r="O22" s="24">
        <f>-IF(O$4=AUTCAP_M,AUTCAP,0)</f>
        <v/>
      </c>
      <c r="P22" s="24">
        <f>-IF(P$4=AUTCAP_M,AUTCAP,0)</f>
        <v/>
      </c>
      <c r="Q22" s="24">
        <f>-IF(Q$4=AUTCAP_M,AUTCAP,0)</f>
        <v/>
      </c>
      <c r="R22" s="24">
        <f>-IF(R$4=AUTCAP_M,AUTCAP,0)</f>
        <v/>
      </c>
      <c r="S22" s="24">
        <f>-IF(S$4=AUTCAP_M,AUTCAP,0)</f>
        <v/>
      </c>
      <c r="T22" s="24">
        <f>-IF(T$4=AUTCAP_M,AUTCAP,0)</f>
        <v/>
      </c>
      <c r="U22" s="24">
        <f>-IF(U$4=AUTCAP_M,AUTCAP,0)</f>
        <v/>
      </c>
      <c r="V22" s="24">
        <f>-IF(V$4=AUTCAP_M,AUTCAP,0)</f>
        <v/>
      </c>
      <c r="W22" s="24">
        <f>-IF(W$4=AUTCAP_M,AUTCAP,0)</f>
        <v/>
      </c>
      <c r="X22" s="24">
        <f>-IF(X$4=AUTCAP_M,AUTCAP,0)</f>
        <v/>
      </c>
      <c r="Y22" s="24">
        <f>-IF(Y$4=AUTCAP_M,AUTCAP,0)</f>
        <v/>
      </c>
      <c r="Z22" s="24">
        <f>-IF(Z$4=AUTCAP_M,AUTCAP,0)</f>
        <v/>
      </c>
      <c r="AA22" s="24">
        <f>-IF(AA$4=AUTCAP_M,AUTCAP,0)</f>
        <v/>
      </c>
      <c r="AB22" s="24">
        <f>-IF(AB$4=AUTCAP_M,AUTCAP,0)</f>
        <v/>
      </c>
      <c r="AC22" s="24">
        <f>-IF(AC$4=AUTCAP_M,AUTCAP,0)</f>
        <v/>
      </c>
      <c r="AD22" s="24">
        <f>-IF(AD$4=AUTCAP_M,AUTCAP,0)</f>
        <v/>
      </c>
      <c r="AE22" s="24">
        <f>-IF(AE$4=AUTCAP_M,AUTCAP,0)</f>
        <v/>
      </c>
      <c r="AF22" s="24">
        <f>-IF(AF$4=AUTCAP_M,AUTCAP,0)</f>
        <v/>
      </c>
      <c r="AG22" s="24">
        <f>-IF(AG$4=AUTCAP_M,AUTCAP,0)</f>
        <v/>
      </c>
      <c r="AH22" s="24">
        <f>-IF(AH$4=AUTCAP_M,AUTCAP,0)</f>
        <v/>
      </c>
      <c r="AI22" s="24">
        <f>-IF(AI$4=AUTCAP_M,AUTCAP,0)</f>
        <v/>
      </c>
      <c r="AJ22" s="24">
        <f>-IF(AJ$4=AUTCAP_M,AUTCAP,0)</f>
        <v/>
      </c>
      <c r="AK22" s="24">
        <f>-IF(AK$4=AUTCAP_M,AUTCAP,0)</f>
        <v/>
      </c>
      <c r="AL22" s="24">
        <f>-IF(AL$4=AUTCAP_M,AUTCAP,0)</f>
        <v/>
      </c>
      <c r="AM22" s="24">
        <f>-IF(AM$4=AUTCAP_M,AUTCAP,0)</f>
        <v/>
      </c>
      <c r="AN22" s="24">
        <f>-IF(AN$4=AUTCAP_M,AUTCAP,0)</f>
        <v/>
      </c>
      <c r="AO22" s="24">
        <f>-IF(AO$4=AUTCAP_M,AUTCAP,0)</f>
        <v/>
      </c>
      <c r="AP22" s="24">
        <f>-IF(AP$4=AUTCAP_M,AUTCAP,0)</f>
        <v/>
      </c>
      <c r="AQ22" s="24">
        <f>-IF(AQ$4=AUTCAP_M,AUTCAP,0)</f>
        <v/>
      </c>
      <c r="AR22" s="24">
        <f>-IF(AR$4=AUTCAP_M,AUTCAP,0)</f>
        <v/>
      </c>
      <c r="AS22" s="24">
        <f>-IF(AS$4=AUTCAP_M,AUTCAP,0)</f>
        <v/>
      </c>
      <c r="AT22" s="24">
        <f>-IF(AT$4=AUTCAP_M,AUTCAP,0)</f>
        <v/>
      </c>
      <c r="AU22" s="24">
        <f>-IF(AU$4=AUTCAP_M,AUTCAP,0)</f>
        <v/>
      </c>
      <c r="AV22" s="24">
        <f>-IF(AV$4=AUTCAP_M,AUTCAP,0)</f>
        <v/>
      </c>
      <c r="AW22" s="24">
        <f>-IF(AW$4=AUTCAP_M,AUTCAP,0)</f>
        <v/>
      </c>
      <c r="AX22" s="24">
        <f>-IF(AX$4=AUTCAP_M,AUTCAP,0)</f>
        <v/>
      </c>
      <c r="AY22" s="24">
        <f>-IF(AY$4=AUTCAP_M,AUTCAP,0)</f>
        <v/>
      </c>
      <c r="AZ22" s="24">
        <f>-IF(AZ$4=AUTCAP_M,AUTCAP,0)</f>
        <v/>
      </c>
      <c r="BA22" s="24">
        <f>-IF(BA$4=AUTCAP_M,AUTCAP,0)</f>
        <v/>
      </c>
      <c r="BB22" s="24">
        <f>-IF(BB$4=AUTCAP_M,AUTCAP,0)</f>
        <v/>
      </c>
      <c r="BC22" s="24">
        <f>-IF(BC$4=AUTCAP_M,AUTCAP,0)</f>
        <v/>
      </c>
      <c r="BD22" s="24">
        <f>-IF(BD$4=AUTCAP_M,AUTCAP,0)</f>
        <v/>
      </c>
      <c r="BE22" s="24">
        <f>-IF(BE$4=AUTCAP_M,AUTCAP,0)</f>
        <v/>
      </c>
      <c r="BF22" s="24">
        <f>-IF(BF$4=AUTCAP_M,AUTCAP,0)</f>
        <v/>
      </c>
      <c r="BG22" s="24">
        <f>-IF(BG$4=AUTCAP_M,AUTCAP,0)</f>
        <v/>
      </c>
      <c r="BH22" s="24">
        <f>-IF(BH$4=AUTCAP_M,AUTCAP,0)</f>
        <v/>
      </c>
      <c r="BI22" s="24">
        <f>-IF(BI$4=AUTCAP_M,AUTCAP,0)</f>
        <v/>
      </c>
      <c r="BJ22" s="24">
        <f>-IF(BJ$4=AUTCAP_M,AUTCAP,0)</f>
        <v/>
      </c>
      <c r="BK22" s="24">
        <f>-IF(BK$4=AUTCAP_M,AUTCAP,0)</f>
        <v/>
      </c>
    </row>
    <row r="23">
      <c r="A23" s="14" t="inlineStr">
        <is>
          <t>Mortuary expansion</t>
        </is>
      </c>
      <c r="B23" s="3" t="inlineStr"/>
      <c r="C23" s="2" t="n"/>
      <c r="D23" s="24">
        <f>-IF(AND(D$4&gt;=MEXP_M,D$4&lt;MEXP_M+MEXP_N),MEXP/MEXP_N,0)</f>
        <v/>
      </c>
      <c r="E23" s="24">
        <f>-IF(AND(E$4&gt;=MEXP_M,E$4&lt;MEXP_M+MEXP_N),MEXP/MEXP_N,0)</f>
        <v/>
      </c>
      <c r="F23" s="24">
        <f>-IF(AND(F$4&gt;=MEXP_M,F$4&lt;MEXP_M+MEXP_N),MEXP/MEXP_N,0)</f>
        <v/>
      </c>
      <c r="G23" s="24">
        <f>-IF(AND(G$4&gt;=MEXP_M,G$4&lt;MEXP_M+MEXP_N),MEXP/MEXP_N,0)</f>
        <v/>
      </c>
      <c r="H23" s="24">
        <f>-IF(AND(H$4&gt;=MEXP_M,H$4&lt;MEXP_M+MEXP_N),MEXP/MEXP_N,0)</f>
        <v/>
      </c>
      <c r="I23" s="24">
        <f>-IF(AND(I$4&gt;=MEXP_M,I$4&lt;MEXP_M+MEXP_N),MEXP/MEXP_N,0)</f>
        <v/>
      </c>
      <c r="J23" s="24">
        <f>-IF(AND(J$4&gt;=MEXP_M,J$4&lt;MEXP_M+MEXP_N),MEXP/MEXP_N,0)</f>
        <v/>
      </c>
      <c r="K23" s="24">
        <f>-IF(AND(K$4&gt;=MEXP_M,K$4&lt;MEXP_M+MEXP_N),MEXP/MEXP_N,0)</f>
        <v/>
      </c>
      <c r="L23" s="24">
        <f>-IF(AND(L$4&gt;=MEXP_M,L$4&lt;MEXP_M+MEXP_N),MEXP/MEXP_N,0)</f>
        <v/>
      </c>
      <c r="M23" s="24">
        <f>-IF(AND(M$4&gt;=MEXP_M,M$4&lt;MEXP_M+MEXP_N),MEXP/MEXP_N,0)</f>
        <v/>
      </c>
      <c r="N23" s="24">
        <f>-IF(AND(N$4&gt;=MEXP_M,N$4&lt;MEXP_M+MEXP_N),MEXP/MEXP_N,0)</f>
        <v/>
      </c>
      <c r="O23" s="24">
        <f>-IF(AND(O$4&gt;=MEXP_M,O$4&lt;MEXP_M+MEXP_N),MEXP/MEXP_N,0)</f>
        <v/>
      </c>
      <c r="P23" s="24">
        <f>-IF(AND(P$4&gt;=MEXP_M,P$4&lt;MEXP_M+MEXP_N),MEXP/MEXP_N,0)</f>
        <v/>
      </c>
      <c r="Q23" s="24">
        <f>-IF(AND(Q$4&gt;=MEXP_M,Q$4&lt;MEXP_M+MEXP_N),MEXP/MEXP_N,0)</f>
        <v/>
      </c>
      <c r="R23" s="24">
        <f>-IF(AND(R$4&gt;=MEXP_M,R$4&lt;MEXP_M+MEXP_N),MEXP/MEXP_N,0)</f>
        <v/>
      </c>
      <c r="S23" s="24">
        <f>-IF(AND(S$4&gt;=MEXP_M,S$4&lt;MEXP_M+MEXP_N),MEXP/MEXP_N,0)</f>
        <v/>
      </c>
      <c r="T23" s="24">
        <f>-IF(AND(T$4&gt;=MEXP_M,T$4&lt;MEXP_M+MEXP_N),MEXP/MEXP_N,0)</f>
        <v/>
      </c>
      <c r="U23" s="24">
        <f>-IF(AND(U$4&gt;=MEXP_M,U$4&lt;MEXP_M+MEXP_N),MEXP/MEXP_N,0)</f>
        <v/>
      </c>
      <c r="V23" s="24">
        <f>-IF(AND(V$4&gt;=MEXP_M,V$4&lt;MEXP_M+MEXP_N),MEXP/MEXP_N,0)</f>
        <v/>
      </c>
      <c r="W23" s="24">
        <f>-IF(AND(W$4&gt;=MEXP_M,W$4&lt;MEXP_M+MEXP_N),MEXP/MEXP_N,0)</f>
        <v/>
      </c>
      <c r="X23" s="24">
        <f>-IF(AND(X$4&gt;=MEXP_M,X$4&lt;MEXP_M+MEXP_N),MEXP/MEXP_N,0)</f>
        <v/>
      </c>
      <c r="Y23" s="24">
        <f>-IF(AND(Y$4&gt;=MEXP_M,Y$4&lt;MEXP_M+MEXP_N),MEXP/MEXP_N,0)</f>
        <v/>
      </c>
      <c r="Z23" s="24">
        <f>-IF(AND(Z$4&gt;=MEXP_M,Z$4&lt;MEXP_M+MEXP_N),MEXP/MEXP_N,0)</f>
        <v/>
      </c>
      <c r="AA23" s="24">
        <f>-IF(AND(AA$4&gt;=MEXP_M,AA$4&lt;MEXP_M+MEXP_N),MEXP/MEXP_N,0)</f>
        <v/>
      </c>
      <c r="AB23" s="24">
        <f>-IF(AND(AB$4&gt;=MEXP_M,AB$4&lt;MEXP_M+MEXP_N),MEXP/MEXP_N,0)</f>
        <v/>
      </c>
      <c r="AC23" s="24">
        <f>-IF(AND(AC$4&gt;=MEXP_M,AC$4&lt;MEXP_M+MEXP_N),MEXP/MEXP_N,0)</f>
        <v/>
      </c>
      <c r="AD23" s="24">
        <f>-IF(AND(AD$4&gt;=MEXP_M,AD$4&lt;MEXP_M+MEXP_N),MEXP/MEXP_N,0)</f>
        <v/>
      </c>
      <c r="AE23" s="24">
        <f>-IF(AND(AE$4&gt;=MEXP_M,AE$4&lt;MEXP_M+MEXP_N),MEXP/MEXP_N,0)</f>
        <v/>
      </c>
      <c r="AF23" s="24">
        <f>-IF(AND(AF$4&gt;=MEXP_M,AF$4&lt;MEXP_M+MEXP_N),MEXP/MEXP_N,0)</f>
        <v/>
      </c>
      <c r="AG23" s="24">
        <f>-IF(AND(AG$4&gt;=MEXP_M,AG$4&lt;MEXP_M+MEXP_N),MEXP/MEXP_N,0)</f>
        <v/>
      </c>
      <c r="AH23" s="24">
        <f>-IF(AND(AH$4&gt;=MEXP_M,AH$4&lt;MEXP_M+MEXP_N),MEXP/MEXP_N,0)</f>
        <v/>
      </c>
      <c r="AI23" s="24">
        <f>-IF(AND(AI$4&gt;=MEXP_M,AI$4&lt;MEXP_M+MEXP_N),MEXP/MEXP_N,0)</f>
        <v/>
      </c>
      <c r="AJ23" s="24">
        <f>-IF(AND(AJ$4&gt;=MEXP_M,AJ$4&lt;MEXP_M+MEXP_N),MEXP/MEXP_N,0)</f>
        <v/>
      </c>
      <c r="AK23" s="24">
        <f>-IF(AND(AK$4&gt;=MEXP_M,AK$4&lt;MEXP_M+MEXP_N),MEXP/MEXP_N,0)</f>
        <v/>
      </c>
      <c r="AL23" s="24">
        <f>-IF(AND(AL$4&gt;=MEXP_M,AL$4&lt;MEXP_M+MEXP_N),MEXP/MEXP_N,0)</f>
        <v/>
      </c>
      <c r="AM23" s="24">
        <f>-IF(AND(AM$4&gt;=MEXP_M,AM$4&lt;MEXP_M+MEXP_N),MEXP/MEXP_N,0)</f>
        <v/>
      </c>
      <c r="AN23" s="24">
        <f>-IF(AND(AN$4&gt;=MEXP_M,AN$4&lt;MEXP_M+MEXP_N),MEXP/MEXP_N,0)</f>
        <v/>
      </c>
      <c r="AO23" s="24">
        <f>-IF(AND(AO$4&gt;=MEXP_M,AO$4&lt;MEXP_M+MEXP_N),MEXP/MEXP_N,0)</f>
        <v/>
      </c>
      <c r="AP23" s="24">
        <f>-IF(AND(AP$4&gt;=MEXP_M,AP$4&lt;MEXP_M+MEXP_N),MEXP/MEXP_N,0)</f>
        <v/>
      </c>
      <c r="AQ23" s="24">
        <f>-IF(AND(AQ$4&gt;=MEXP_M,AQ$4&lt;MEXP_M+MEXP_N),MEXP/MEXP_N,0)</f>
        <v/>
      </c>
      <c r="AR23" s="24">
        <f>-IF(AND(AR$4&gt;=MEXP_M,AR$4&lt;MEXP_M+MEXP_N),MEXP/MEXP_N,0)</f>
        <v/>
      </c>
      <c r="AS23" s="24">
        <f>-IF(AND(AS$4&gt;=MEXP_M,AS$4&lt;MEXP_M+MEXP_N),MEXP/MEXP_N,0)</f>
        <v/>
      </c>
      <c r="AT23" s="24">
        <f>-IF(AND(AT$4&gt;=MEXP_M,AT$4&lt;MEXP_M+MEXP_N),MEXP/MEXP_N,0)</f>
        <v/>
      </c>
      <c r="AU23" s="24">
        <f>-IF(AND(AU$4&gt;=MEXP_M,AU$4&lt;MEXP_M+MEXP_N),MEXP/MEXP_N,0)</f>
        <v/>
      </c>
      <c r="AV23" s="24">
        <f>-IF(AND(AV$4&gt;=MEXP_M,AV$4&lt;MEXP_M+MEXP_N),MEXP/MEXP_N,0)</f>
        <v/>
      </c>
      <c r="AW23" s="24">
        <f>-IF(AND(AW$4&gt;=MEXP_M,AW$4&lt;MEXP_M+MEXP_N),MEXP/MEXP_N,0)</f>
        <v/>
      </c>
      <c r="AX23" s="24">
        <f>-IF(AND(AX$4&gt;=MEXP_M,AX$4&lt;MEXP_M+MEXP_N),MEXP/MEXP_N,0)</f>
        <v/>
      </c>
      <c r="AY23" s="24">
        <f>-IF(AND(AY$4&gt;=MEXP_M,AY$4&lt;MEXP_M+MEXP_N),MEXP/MEXP_N,0)</f>
        <v/>
      </c>
      <c r="AZ23" s="24">
        <f>-IF(AND(AZ$4&gt;=MEXP_M,AZ$4&lt;MEXP_M+MEXP_N),MEXP/MEXP_N,0)</f>
        <v/>
      </c>
      <c r="BA23" s="24">
        <f>-IF(AND(BA$4&gt;=MEXP_M,BA$4&lt;MEXP_M+MEXP_N),MEXP/MEXP_N,0)</f>
        <v/>
      </c>
      <c r="BB23" s="24">
        <f>-IF(AND(BB$4&gt;=MEXP_M,BB$4&lt;MEXP_M+MEXP_N),MEXP/MEXP_N,0)</f>
        <v/>
      </c>
      <c r="BC23" s="24">
        <f>-IF(AND(BC$4&gt;=MEXP_M,BC$4&lt;MEXP_M+MEXP_N),MEXP/MEXP_N,0)</f>
        <v/>
      </c>
      <c r="BD23" s="24">
        <f>-IF(AND(BD$4&gt;=MEXP_M,BD$4&lt;MEXP_M+MEXP_N),MEXP/MEXP_N,0)</f>
        <v/>
      </c>
      <c r="BE23" s="24">
        <f>-IF(AND(BE$4&gt;=MEXP_M,BE$4&lt;MEXP_M+MEXP_N),MEXP/MEXP_N,0)</f>
        <v/>
      </c>
      <c r="BF23" s="24">
        <f>-IF(AND(BF$4&gt;=MEXP_M,BF$4&lt;MEXP_M+MEXP_N),MEXP/MEXP_N,0)</f>
        <v/>
      </c>
      <c r="BG23" s="24">
        <f>-IF(AND(BG$4&gt;=MEXP_M,BG$4&lt;MEXP_M+MEXP_N),MEXP/MEXP_N,0)</f>
        <v/>
      </c>
      <c r="BH23" s="24">
        <f>-IF(AND(BH$4&gt;=MEXP_M,BH$4&lt;MEXP_M+MEXP_N),MEXP/MEXP_N,0)</f>
        <v/>
      </c>
      <c r="BI23" s="24">
        <f>-IF(AND(BI$4&gt;=MEXP_M,BI$4&lt;MEXP_M+MEXP_N),MEXP/MEXP_N,0)</f>
        <v/>
      </c>
      <c r="BJ23" s="24">
        <f>-IF(AND(BJ$4&gt;=MEXP_M,BJ$4&lt;MEXP_M+MEXP_N),MEXP/MEXP_N,0)</f>
        <v/>
      </c>
      <c r="BK23" s="24">
        <f>-IF(AND(BK$4&gt;=MEXP_M,BK$4&lt;MEXP_M+MEXP_N),MEXP/MEXP_N,0)</f>
        <v/>
      </c>
    </row>
    <row r="24">
      <c r="A24" s="30" t="inlineStr">
        <is>
          <t>Capital spend</t>
        </is>
      </c>
      <c r="B24" s="3" t="inlineStr"/>
      <c r="C24" s="2" t="n"/>
      <c r="D24" s="33">
        <f>SUM(D17:D23)</f>
        <v/>
      </c>
      <c r="E24" s="33">
        <f>SUM(E17:E23)</f>
        <v/>
      </c>
      <c r="F24" s="33">
        <f>SUM(F17:F23)</f>
        <v/>
      </c>
      <c r="G24" s="33">
        <f>SUM(G17:G23)</f>
        <v/>
      </c>
      <c r="H24" s="33">
        <f>SUM(H17:H23)</f>
        <v/>
      </c>
      <c r="I24" s="33">
        <f>SUM(I17:I23)</f>
        <v/>
      </c>
      <c r="J24" s="33">
        <f>SUM(J17:J23)</f>
        <v/>
      </c>
      <c r="K24" s="33">
        <f>SUM(K17:K23)</f>
        <v/>
      </c>
      <c r="L24" s="33">
        <f>SUM(L17:L23)</f>
        <v/>
      </c>
      <c r="M24" s="33">
        <f>SUM(M17:M23)</f>
        <v/>
      </c>
      <c r="N24" s="33">
        <f>SUM(N17:N23)</f>
        <v/>
      </c>
      <c r="O24" s="33">
        <f>SUM(O17:O23)</f>
        <v/>
      </c>
      <c r="P24" s="33">
        <f>SUM(P17:P23)</f>
        <v/>
      </c>
      <c r="Q24" s="33">
        <f>SUM(Q17:Q23)</f>
        <v/>
      </c>
      <c r="R24" s="33">
        <f>SUM(R17:R23)</f>
        <v/>
      </c>
      <c r="S24" s="33">
        <f>SUM(S17:S23)</f>
        <v/>
      </c>
      <c r="T24" s="33">
        <f>SUM(T17:T23)</f>
        <v/>
      </c>
      <c r="U24" s="33">
        <f>SUM(U17:U23)</f>
        <v/>
      </c>
      <c r="V24" s="33">
        <f>SUM(V17:V23)</f>
        <v/>
      </c>
      <c r="W24" s="33">
        <f>SUM(W17:W23)</f>
        <v/>
      </c>
      <c r="X24" s="33">
        <f>SUM(X17:X23)</f>
        <v/>
      </c>
      <c r="Y24" s="33">
        <f>SUM(Y17:Y23)</f>
        <v/>
      </c>
      <c r="Z24" s="33">
        <f>SUM(Z17:Z23)</f>
        <v/>
      </c>
      <c r="AA24" s="33">
        <f>SUM(AA17:AA23)</f>
        <v/>
      </c>
      <c r="AB24" s="33">
        <f>SUM(AB17:AB23)</f>
        <v/>
      </c>
      <c r="AC24" s="33">
        <f>SUM(AC17:AC23)</f>
        <v/>
      </c>
      <c r="AD24" s="33">
        <f>SUM(AD17:AD23)</f>
        <v/>
      </c>
      <c r="AE24" s="33">
        <f>SUM(AE17:AE23)</f>
        <v/>
      </c>
      <c r="AF24" s="33">
        <f>SUM(AF17:AF23)</f>
        <v/>
      </c>
      <c r="AG24" s="33">
        <f>SUM(AG17:AG23)</f>
        <v/>
      </c>
      <c r="AH24" s="33">
        <f>SUM(AH17:AH23)</f>
        <v/>
      </c>
      <c r="AI24" s="33">
        <f>SUM(AI17:AI23)</f>
        <v/>
      </c>
      <c r="AJ24" s="33">
        <f>SUM(AJ17:AJ23)</f>
        <v/>
      </c>
      <c r="AK24" s="33">
        <f>SUM(AK17:AK23)</f>
        <v/>
      </c>
      <c r="AL24" s="33">
        <f>SUM(AL17:AL23)</f>
        <v/>
      </c>
      <c r="AM24" s="33">
        <f>SUM(AM17:AM23)</f>
        <v/>
      </c>
      <c r="AN24" s="33">
        <f>SUM(AN17:AN23)</f>
        <v/>
      </c>
      <c r="AO24" s="33">
        <f>SUM(AO17:AO23)</f>
        <v/>
      </c>
      <c r="AP24" s="33">
        <f>SUM(AP17:AP23)</f>
        <v/>
      </c>
      <c r="AQ24" s="33">
        <f>SUM(AQ17:AQ23)</f>
        <v/>
      </c>
      <c r="AR24" s="33">
        <f>SUM(AR17:AR23)</f>
        <v/>
      </c>
      <c r="AS24" s="33">
        <f>SUM(AS17:AS23)</f>
        <v/>
      </c>
      <c r="AT24" s="33">
        <f>SUM(AT17:AT23)</f>
        <v/>
      </c>
      <c r="AU24" s="33">
        <f>SUM(AU17:AU23)</f>
        <v/>
      </c>
      <c r="AV24" s="33">
        <f>SUM(AV17:AV23)</f>
        <v/>
      </c>
      <c r="AW24" s="33">
        <f>SUM(AW17:AW23)</f>
        <v/>
      </c>
      <c r="AX24" s="33">
        <f>SUM(AX17:AX23)</f>
        <v/>
      </c>
      <c r="AY24" s="33">
        <f>SUM(AY17:AY23)</f>
        <v/>
      </c>
      <c r="AZ24" s="33">
        <f>SUM(AZ17:AZ23)</f>
        <v/>
      </c>
      <c r="BA24" s="33">
        <f>SUM(BA17:BA23)</f>
        <v/>
      </c>
      <c r="BB24" s="33">
        <f>SUM(BB17:BB23)</f>
        <v/>
      </c>
      <c r="BC24" s="33">
        <f>SUM(BC17:BC23)</f>
        <v/>
      </c>
      <c r="BD24" s="33">
        <f>SUM(BD17:BD23)</f>
        <v/>
      </c>
      <c r="BE24" s="33">
        <f>SUM(BE17:BE23)</f>
        <v/>
      </c>
      <c r="BF24" s="33">
        <f>SUM(BF17:BF23)</f>
        <v/>
      </c>
      <c r="BG24" s="33">
        <f>SUM(BG17:BG23)</f>
        <v/>
      </c>
      <c r="BH24" s="33">
        <f>SUM(BH17:BH23)</f>
        <v/>
      </c>
      <c r="BI24" s="33">
        <f>SUM(BI17:BI23)</f>
        <v/>
      </c>
      <c r="BJ24" s="33">
        <f>SUM(BJ17:BJ23)</f>
        <v/>
      </c>
      <c r="BK24" s="33">
        <f>SUM(BK17:BK23)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</row>
    <row r="26">
      <c r="A26" s="14" t="inlineStr">
        <is>
          <t>Residence deposits received</t>
        </is>
      </c>
      <c r="B26" s="3" t="inlineStr"/>
      <c r="C26" s="2" t="n"/>
      <c r="D26" s="24">
        <f>IF(D$4=RES1_EFF-1,DEPOSIT*DEPOSITS_N,0)+IF(D$4=RES2_EFF-1,DEPOSIT*DEPOSITS_N,0)</f>
        <v/>
      </c>
      <c r="E26" s="24">
        <f>IF(E$4=RES1_EFF-1,DEPOSIT*DEPOSITS_N,0)+IF(E$4=RES2_EFF-1,DEPOSIT*DEPOSITS_N,0)</f>
        <v/>
      </c>
      <c r="F26" s="24">
        <f>IF(F$4=RES1_EFF-1,DEPOSIT*DEPOSITS_N,0)+IF(F$4=RES2_EFF-1,DEPOSIT*DEPOSITS_N,0)</f>
        <v/>
      </c>
      <c r="G26" s="24">
        <f>IF(G$4=RES1_EFF-1,DEPOSIT*DEPOSITS_N,0)+IF(G$4=RES2_EFF-1,DEPOSIT*DEPOSITS_N,0)</f>
        <v/>
      </c>
      <c r="H26" s="24">
        <f>IF(H$4=RES1_EFF-1,DEPOSIT*DEPOSITS_N,0)+IF(H$4=RES2_EFF-1,DEPOSIT*DEPOSITS_N,0)</f>
        <v/>
      </c>
      <c r="I26" s="24">
        <f>IF(I$4=RES1_EFF-1,DEPOSIT*DEPOSITS_N,0)+IF(I$4=RES2_EFF-1,DEPOSIT*DEPOSITS_N,0)</f>
        <v/>
      </c>
      <c r="J26" s="24">
        <f>IF(J$4=RES1_EFF-1,DEPOSIT*DEPOSITS_N,0)+IF(J$4=RES2_EFF-1,DEPOSIT*DEPOSITS_N,0)</f>
        <v/>
      </c>
      <c r="K26" s="24">
        <f>IF(K$4=RES1_EFF-1,DEPOSIT*DEPOSITS_N,0)+IF(K$4=RES2_EFF-1,DEPOSIT*DEPOSITS_N,0)</f>
        <v/>
      </c>
      <c r="L26" s="24">
        <f>IF(L$4=RES1_EFF-1,DEPOSIT*DEPOSITS_N,0)+IF(L$4=RES2_EFF-1,DEPOSIT*DEPOSITS_N,0)</f>
        <v/>
      </c>
      <c r="M26" s="24">
        <f>IF(M$4=RES1_EFF-1,DEPOSIT*DEPOSITS_N,0)+IF(M$4=RES2_EFF-1,DEPOSIT*DEPOSITS_N,0)</f>
        <v/>
      </c>
      <c r="N26" s="24">
        <f>IF(N$4=RES1_EFF-1,DEPOSIT*DEPOSITS_N,0)+IF(N$4=RES2_EFF-1,DEPOSIT*DEPOSITS_N,0)</f>
        <v/>
      </c>
      <c r="O26" s="24">
        <f>IF(O$4=RES1_EFF-1,DEPOSIT*DEPOSITS_N,0)+IF(O$4=RES2_EFF-1,DEPOSIT*DEPOSITS_N,0)</f>
        <v/>
      </c>
      <c r="P26" s="24">
        <f>IF(P$4=RES1_EFF-1,DEPOSIT*DEPOSITS_N,0)+IF(P$4=RES2_EFF-1,DEPOSIT*DEPOSITS_N,0)</f>
        <v/>
      </c>
      <c r="Q26" s="24">
        <f>IF(Q$4=RES1_EFF-1,DEPOSIT*DEPOSITS_N,0)+IF(Q$4=RES2_EFF-1,DEPOSIT*DEPOSITS_N,0)</f>
        <v/>
      </c>
      <c r="R26" s="24">
        <f>IF(R$4=RES1_EFF-1,DEPOSIT*DEPOSITS_N,0)+IF(R$4=RES2_EFF-1,DEPOSIT*DEPOSITS_N,0)</f>
        <v/>
      </c>
      <c r="S26" s="24">
        <f>IF(S$4=RES1_EFF-1,DEPOSIT*DEPOSITS_N,0)+IF(S$4=RES2_EFF-1,DEPOSIT*DEPOSITS_N,0)</f>
        <v/>
      </c>
      <c r="T26" s="24">
        <f>IF(T$4=RES1_EFF-1,DEPOSIT*DEPOSITS_N,0)+IF(T$4=RES2_EFF-1,DEPOSIT*DEPOSITS_N,0)</f>
        <v/>
      </c>
      <c r="U26" s="24">
        <f>IF(U$4=RES1_EFF-1,DEPOSIT*DEPOSITS_N,0)+IF(U$4=RES2_EFF-1,DEPOSIT*DEPOSITS_N,0)</f>
        <v/>
      </c>
      <c r="V26" s="24">
        <f>IF(V$4=RES1_EFF-1,DEPOSIT*DEPOSITS_N,0)+IF(V$4=RES2_EFF-1,DEPOSIT*DEPOSITS_N,0)</f>
        <v/>
      </c>
      <c r="W26" s="24">
        <f>IF(W$4=RES1_EFF-1,DEPOSIT*DEPOSITS_N,0)+IF(W$4=RES2_EFF-1,DEPOSIT*DEPOSITS_N,0)</f>
        <v/>
      </c>
      <c r="X26" s="24">
        <f>IF(X$4=RES1_EFF-1,DEPOSIT*DEPOSITS_N,0)+IF(X$4=RES2_EFF-1,DEPOSIT*DEPOSITS_N,0)</f>
        <v/>
      </c>
      <c r="Y26" s="24">
        <f>IF(Y$4=RES1_EFF-1,DEPOSIT*DEPOSITS_N,0)+IF(Y$4=RES2_EFF-1,DEPOSIT*DEPOSITS_N,0)</f>
        <v/>
      </c>
      <c r="Z26" s="24">
        <f>IF(Z$4=RES1_EFF-1,DEPOSIT*DEPOSITS_N,0)+IF(Z$4=RES2_EFF-1,DEPOSIT*DEPOSITS_N,0)</f>
        <v/>
      </c>
      <c r="AA26" s="24">
        <f>IF(AA$4=RES1_EFF-1,DEPOSIT*DEPOSITS_N,0)+IF(AA$4=RES2_EFF-1,DEPOSIT*DEPOSITS_N,0)</f>
        <v/>
      </c>
      <c r="AB26" s="24">
        <f>IF(AB$4=RES1_EFF-1,DEPOSIT*DEPOSITS_N,0)+IF(AB$4=RES2_EFF-1,DEPOSIT*DEPOSITS_N,0)</f>
        <v/>
      </c>
      <c r="AC26" s="24">
        <f>IF(AC$4=RES1_EFF-1,DEPOSIT*DEPOSITS_N,0)+IF(AC$4=RES2_EFF-1,DEPOSIT*DEPOSITS_N,0)</f>
        <v/>
      </c>
      <c r="AD26" s="24">
        <f>IF(AD$4=RES1_EFF-1,DEPOSIT*DEPOSITS_N,0)+IF(AD$4=RES2_EFF-1,DEPOSIT*DEPOSITS_N,0)</f>
        <v/>
      </c>
      <c r="AE26" s="24">
        <f>IF(AE$4=RES1_EFF-1,DEPOSIT*DEPOSITS_N,0)+IF(AE$4=RES2_EFF-1,DEPOSIT*DEPOSITS_N,0)</f>
        <v/>
      </c>
      <c r="AF26" s="24">
        <f>IF(AF$4=RES1_EFF-1,DEPOSIT*DEPOSITS_N,0)+IF(AF$4=RES2_EFF-1,DEPOSIT*DEPOSITS_N,0)</f>
        <v/>
      </c>
      <c r="AG26" s="24">
        <f>IF(AG$4=RES1_EFF-1,DEPOSIT*DEPOSITS_N,0)+IF(AG$4=RES2_EFF-1,DEPOSIT*DEPOSITS_N,0)</f>
        <v/>
      </c>
      <c r="AH26" s="24">
        <f>IF(AH$4=RES1_EFF-1,DEPOSIT*DEPOSITS_N,0)+IF(AH$4=RES2_EFF-1,DEPOSIT*DEPOSITS_N,0)</f>
        <v/>
      </c>
      <c r="AI26" s="24">
        <f>IF(AI$4=RES1_EFF-1,DEPOSIT*DEPOSITS_N,0)+IF(AI$4=RES2_EFF-1,DEPOSIT*DEPOSITS_N,0)</f>
        <v/>
      </c>
      <c r="AJ26" s="24">
        <f>IF(AJ$4=RES1_EFF-1,DEPOSIT*DEPOSITS_N,0)+IF(AJ$4=RES2_EFF-1,DEPOSIT*DEPOSITS_N,0)</f>
        <v/>
      </c>
      <c r="AK26" s="24">
        <f>IF(AK$4=RES1_EFF-1,DEPOSIT*DEPOSITS_N,0)+IF(AK$4=RES2_EFF-1,DEPOSIT*DEPOSITS_N,0)</f>
        <v/>
      </c>
      <c r="AL26" s="24">
        <f>IF(AL$4=RES1_EFF-1,DEPOSIT*DEPOSITS_N,0)+IF(AL$4=RES2_EFF-1,DEPOSIT*DEPOSITS_N,0)</f>
        <v/>
      </c>
      <c r="AM26" s="24">
        <f>IF(AM$4=RES1_EFF-1,DEPOSIT*DEPOSITS_N,0)+IF(AM$4=RES2_EFF-1,DEPOSIT*DEPOSITS_N,0)</f>
        <v/>
      </c>
      <c r="AN26" s="24">
        <f>IF(AN$4=RES1_EFF-1,DEPOSIT*DEPOSITS_N,0)+IF(AN$4=RES2_EFF-1,DEPOSIT*DEPOSITS_N,0)</f>
        <v/>
      </c>
      <c r="AO26" s="24">
        <f>IF(AO$4=RES1_EFF-1,DEPOSIT*DEPOSITS_N,0)+IF(AO$4=RES2_EFF-1,DEPOSIT*DEPOSITS_N,0)</f>
        <v/>
      </c>
      <c r="AP26" s="24">
        <f>IF(AP$4=RES1_EFF-1,DEPOSIT*DEPOSITS_N,0)+IF(AP$4=RES2_EFF-1,DEPOSIT*DEPOSITS_N,0)</f>
        <v/>
      </c>
      <c r="AQ26" s="24">
        <f>IF(AQ$4=RES1_EFF-1,DEPOSIT*DEPOSITS_N,0)+IF(AQ$4=RES2_EFF-1,DEPOSIT*DEPOSITS_N,0)</f>
        <v/>
      </c>
      <c r="AR26" s="24">
        <f>IF(AR$4=RES1_EFF-1,DEPOSIT*DEPOSITS_N,0)+IF(AR$4=RES2_EFF-1,DEPOSIT*DEPOSITS_N,0)</f>
        <v/>
      </c>
      <c r="AS26" s="24">
        <f>IF(AS$4=RES1_EFF-1,DEPOSIT*DEPOSITS_N,0)+IF(AS$4=RES2_EFF-1,DEPOSIT*DEPOSITS_N,0)</f>
        <v/>
      </c>
      <c r="AT26" s="24">
        <f>IF(AT$4=RES1_EFF-1,DEPOSIT*DEPOSITS_N,0)+IF(AT$4=RES2_EFF-1,DEPOSIT*DEPOSITS_N,0)</f>
        <v/>
      </c>
      <c r="AU26" s="24">
        <f>IF(AU$4=RES1_EFF-1,DEPOSIT*DEPOSITS_N,0)+IF(AU$4=RES2_EFF-1,DEPOSIT*DEPOSITS_N,0)</f>
        <v/>
      </c>
      <c r="AV26" s="24">
        <f>IF(AV$4=RES1_EFF-1,DEPOSIT*DEPOSITS_N,0)+IF(AV$4=RES2_EFF-1,DEPOSIT*DEPOSITS_N,0)</f>
        <v/>
      </c>
      <c r="AW26" s="24">
        <f>IF(AW$4=RES1_EFF-1,DEPOSIT*DEPOSITS_N,0)+IF(AW$4=RES2_EFF-1,DEPOSIT*DEPOSITS_N,0)</f>
        <v/>
      </c>
      <c r="AX26" s="24">
        <f>IF(AX$4=RES1_EFF-1,DEPOSIT*DEPOSITS_N,0)+IF(AX$4=RES2_EFF-1,DEPOSIT*DEPOSITS_N,0)</f>
        <v/>
      </c>
      <c r="AY26" s="24">
        <f>IF(AY$4=RES1_EFF-1,DEPOSIT*DEPOSITS_N,0)+IF(AY$4=RES2_EFF-1,DEPOSIT*DEPOSITS_N,0)</f>
        <v/>
      </c>
      <c r="AZ26" s="24">
        <f>IF(AZ$4=RES1_EFF-1,DEPOSIT*DEPOSITS_N,0)+IF(AZ$4=RES2_EFF-1,DEPOSIT*DEPOSITS_N,0)</f>
        <v/>
      </c>
      <c r="BA26" s="24">
        <f>IF(BA$4=RES1_EFF-1,DEPOSIT*DEPOSITS_N,0)+IF(BA$4=RES2_EFF-1,DEPOSIT*DEPOSITS_N,0)</f>
        <v/>
      </c>
      <c r="BB26" s="24">
        <f>IF(BB$4=RES1_EFF-1,DEPOSIT*DEPOSITS_N,0)+IF(BB$4=RES2_EFF-1,DEPOSIT*DEPOSITS_N,0)</f>
        <v/>
      </c>
      <c r="BC26" s="24">
        <f>IF(BC$4=RES1_EFF-1,DEPOSIT*DEPOSITS_N,0)+IF(BC$4=RES2_EFF-1,DEPOSIT*DEPOSITS_N,0)</f>
        <v/>
      </c>
      <c r="BD26" s="24">
        <f>IF(BD$4=RES1_EFF-1,DEPOSIT*DEPOSITS_N,0)+IF(BD$4=RES2_EFF-1,DEPOSIT*DEPOSITS_N,0)</f>
        <v/>
      </c>
      <c r="BE26" s="24">
        <f>IF(BE$4=RES1_EFF-1,DEPOSIT*DEPOSITS_N,0)+IF(BE$4=RES2_EFF-1,DEPOSIT*DEPOSITS_N,0)</f>
        <v/>
      </c>
      <c r="BF26" s="24">
        <f>IF(BF$4=RES1_EFF-1,DEPOSIT*DEPOSITS_N,0)+IF(BF$4=RES2_EFF-1,DEPOSIT*DEPOSITS_N,0)</f>
        <v/>
      </c>
      <c r="BG26" s="24">
        <f>IF(BG$4=RES1_EFF-1,DEPOSIT*DEPOSITS_N,0)+IF(BG$4=RES2_EFF-1,DEPOSIT*DEPOSITS_N,0)</f>
        <v/>
      </c>
      <c r="BH26" s="24">
        <f>IF(BH$4=RES1_EFF-1,DEPOSIT*DEPOSITS_N,0)+IF(BH$4=RES2_EFF-1,DEPOSIT*DEPOSITS_N,0)</f>
        <v/>
      </c>
      <c r="BI26" s="24">
        <f>IF(BI$4=RES1_EFF-1,DEPOSIT*DEPOSITS_N,0)+IF(BI$4=RES2_EFF-1,DEPOSIT*DEPOSITS_N,0)</f>
        <v/>
      </c>
      <c r="BJ26" s="24">
        <f>IF(BJ$4=RES1_EFF-1,DEPOSIT*DEPOSITS_N,0)+IF(BJ$4=RES2_EFF-1,DEPOSIT*DEPOSITS_N,0)</f>
        <v/>
      </c>
      <c r="BK26" s="24">
        <f>IF(BK$4=RES1_EFF-1,DEPOSIT*DEPOSITS_N,0)+IF(BK$4=RES2_EFF-1,DEPOSIT*DEPOSITS_N,0)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</row>
    <row r="28">
      <c r="A28" s="30" t="inlineStr">
        <is>
          <t>Net cash flow before funding</t>
        </is>
      </c>
      <c r="B28" s="3" t="inlineStr"/>
      <c r="C28" s="2" t="n"/>
      <c r="D28" s="33">
        <f>D8+D9+D14+D24+D26</f>
        <v/>
      </c>
      <c r="E28" s="33">
        <f>E8+E9+E14+E24+E26</f>
        <v/>
      </c>
      <c r="F28" s="33">
        <f>F8+F9+F14+F24+F26</f>
        <v/>
      </c>
      <c r="G28" s="33">
        <f>G8+G9+G14+G24+G26</f>
        <v/>
      </c>
      <c r="H28" s="33">
        <f>H8+H9+H14+H24+H26</f>
        <v/>
      </c>
      <c r="I28" s="33">
        <f>I8+I9+I14+I24+I26</f>
        <v/>
      </c>
      <c r="J28" s="33">
        <f>J8+J9+J14+J24+J26</f>
        <v/>
      </c>
      <c r="K28" s="33">
        <f>K8+K9+K14+K24+K26</f>
        <v/>
      </c>
      <c r="L28" s="33">
        <f>L8+L9+L14+L24+L26</f>
        <v/>
      </c>
      <c r="M28" s="33">
        <f>M8+M9+M14+M24+M26</f>
        <v/>
      </c>
      <c r="N28" s="33">
        <f>N8+N9+N14+N24+N26</f>
        <v/>
      </c>
      <c r="O28" s="33">
        <f>O8+O9+O14+O24+O26</f>
        <v/>
      </c>
      <c r="P28" s="33">
        <f>P8+P9+P14+P24+P26</f>
        <v/>
      </c>
      <c r="Q28" s="33">
        <f>Q8+Q9+Q14+Q24+Q26</f>
        <v/>
      </c>
      <c r="R28" s="33">
        <f>R8+R9+R14+R24+R26</f>
        <v/>
      </c>
      <c r="S28" s="33">
        <f>S8+S9+S14+S24+S26</f>
        <v/>
      </c>
      <c r="T28" s="33">
        <f>T8+T9+T14+T24+T26</f>
        <v/>
      </c>
      <c r="U28" s="33">
        <f>U8+U9+U14+U24+U26</f>
        <v/>
      </c>
      <c r="V28" s="33">
        <f>V8+V9+V14+V24+V26</f>
        <v/>
      </c>
      <c r="W28" s="33">
        <f>W8+W9+W14+W24+W26</f>
        <v/>
      </c>
      <c r="X28" s="33">
        <f>X8+X9+X14+X24+X26</f>
        <v/>
      </c>
      <c r="Y28" s="33">
        <f>Y8+Y9+Y14+Y24+Y26</f>
        <v/>
      </c>
      <c r="Z28" s="33">
        <f>Z8+Z9+Z14+Z24+Z26</f>
        <v/>
      </c>
      <c r="AA28" s="33">
        <f>AA8+AA9+AA14+AA24+AA26</f>
        <v/>
      </c>
      <c r="AB28" s="33">
        <f>AB8+AB9+AB14+AB24+AB26</f>
        <v/>
      </c>
      <c r="AC28" s="33">
        <f>AC8+AC9+AC14+AC24+AC26</f>
        <v/>
      </c>
      <c r="AD28" s="33">
        <f>AD8+AD9+AD14+AD24+AD26</f>
        <v/>
      </c>
      <c r="AE28" s="33">
        <f>AE8+AE9+AE14+AE24+AE26</f>
        <v/>
      </c>
      <c r="AF28" s="33">
        <f>AF8+AF9+AF14+AF24+AF26</f>
        <v/>
      </c>
      <c r="AG28" s="33">
        <f>AG8+AG9+AG14+AG24+AG26</f>
        <v/>
      </c>
      <c r="AH28" s="33">
        <f>AH8+AH9+AH14+AH24+AH26</f>
        <v/>
      </c>
      <c r="AI28" s="33">
        <f>AI8+AI9+AI14+AI24+AI26</f>
        <v/>
      </c>
      <c r="AJ28" s="33">
        <f>AJ8+AJ9+AJ14+AJ24+AJ26</f>
        <v/>
      </c>
      <c r="AK28" s="33">
        <f>AK8+AK9+AK14+AK24+AK26</f>
        <v/>
      </c>
      <c r="AL28" s="33">
        <f>AL8+AL9+AL14+AL24+AL26</f>
        <v/>
      </c>
      <c r="AM28" s="33">
        <f>AM8+AM9+AM14+AM24+AM26</f>
        <v/>
      </c>
      <c r="AN28" s="33">
        <f>AN8+AN9+AN14+AN24+AN26</f>
        <v/>
      </c>
      <c r="AO28" s="33">
        <f>AO8+AO9+AO14+AO24+AO26</f>
        <v/>
      </c>
      <c r="AP28" s="33">
        <f>AP8+AP9+AP14+AP24+AP26</f>
        <v/>
      </c>
      <c r="AQ28" s="33">
        <f>AQ8+AQ9+AQ14+AQ24+AQ26</f>
        <v/>
      </c>
      <c r="AR28" s="33">
        <f>AR8+AR9+AR14+AR24+AR26</f>
        <v/>
      </c>
      <c r="AS28" s="33">
        <f>AS8+AS9+AS14+AS24+AS26</f>
        <v/>
      </c>
      <c r="AT28" s="33">
        <f>AT8+AT9+AT14+AT24+AT26</f>
        <v/>
      </c>
      <c r="AU28" s="33">
        <f>AU8+AU9+AU14+AU24+AU26</f>
        <v/>
      </c>
      <c r="AV28" s="33">
        <f>AV8+AV9+AV14+AV24+AV26</f>
        <v/>
      </c>
      <c r="AW28" s="33">
        <f>AW8+AW9+AW14+AW24+AW26</f>
        <v/>
      </c>
      <c r="AX28" s="33">
        <f>AX8+AX9+AX14+AX24+AX26</f>
        <v/>
      </c>
      <c r="AY28" s="33">
        <f>AY8+AY9+AY14+AY24+AY26</f>
        <v/>
      </c>
      <c r="AZ28" s="33">
        <f>AZ8+AZ9+AZ14+AZ24+AZ26</f>
        <v/>
      </c>
      <c r="BA28" s="33">
        <f>BA8+BA9+BA14+BA24+BA26</f>
        <v/>
      </c>
      <c r="BB28" s="33">
        <f>BB8+BB9+BB14+BB24+BB26</f>
        <v/>
      </c>
      <c r="BC28" s="33">
        <f>BC8+BC9+BC14+BC24+BC26</f>
        <v/>
      </c>
      <c r="BD28" s="33">
        <f>BD8+BD9+BD14+BD24+BD26</f>
        <v/>
      </c>
      <c r="BE28" s="33">
        <f>BE8+BE9+BE14+BE24+BE26</f>
        <v/>
      </c>
      <c r="BF28" s="33">
        <f>BF8+BF9+BF14+BF24+BF26</f>
        <v/>
      </c>
      <c r="BG28" s="33">
        <f>BG8+BG9+BG14+BG24+BG26</f>
        <v/>
      </c>
      <c r="BH28" s="33">
        <f>BH8+BH9+BH14+BH24+BH26</f>
        <v/>
      </c>
      <c r="BI28" s="33">
        <f>BI8+BI9+BI14+BI24+BI26</f>
        <v/>
      </c>
      <c r="BJ28" s="33">
        <f>BJ8+BJ9+BJ14+BJ24+BJ26</f>
        <v/>
      </c>
      <c r="BK28" s="33">
        <f>BK8+BK9+BK14+BK24+BK26</f>
        <v/>
      </c>
    </row>
    <row r="29">
      <c r="A29" s="4" t="inlineStr">
        <is>
          <t>Cumulative cash before funding</t>
        </is>
      </c>
      <c r="B29" s="3" t="inlineStr"/>
      <c r="C29" s="2" t="n"/>
      <c r="D29" s="35">
        <f>SUM($D$28:D28)</f>
        <v/>
      </c>
      <c r="E29" s="35">
        <f>SUM($D$28:E28)</f>
        <v/>
      </c>
      <c r="F29" s="35">
        <f>SUM($D$28:F28)</f>
        <v/>
      </c>
      <c r="G29" s="35">
        <f>SUM($D$28:G28)</f>
        <v/>
      </c>
      <c r="H29" s="35">
        <f>SUM($D$28:H28)</f>
        <v/>
      </c>
      <c r="I29" s="35">
        <f>SUM($D$28:I28)</f>
        <v/>
      </c>
      <c r="J29" s="35">
        <f>SUM($D$28:J28)</f>
        <v/>
      </c>
      <c r="K29" s="35">
        <f>SUM($D$28:K28)</f>
        <v/>
      </c>
      <c r="L29" s="35">
        <f>SUM($D$28:L28)</f>
        <v/>
      </c>
      <c r="M29" s="35">
        <f>SUM($D$28:M28)</f>
        <v/>
      </c>
      <c r="N29" s="35">
        <f>SUM($D$28:N28)</f>
        <v/>
      </c>
      <c r="O29" s="35">
        <f>SUM($D$28:O28)</f>
        <v/>
      </c>
      <c r="P29" s="35">
        <f>SUM($D$28:P28)</f>
        <v/>
      </c>
      <c r="Q29" s="35">
        <f>SUM($D$28:Q28)</f>
        <v/>
      </c>
      <c r="R29" s="35">
        <f>SUM($D$28:R28)</f>
        <v/>
      </c>
      <c r="S29" s="35">
        <f>SUM($D$28:S28)</f>
        <v/>
      </c>
      <c r="T29" s="35">
        <f>SUM($D$28:T28)</f>
        <v/>
      </c>
      <c r="U29" s="35">
        <f>SUM($D$28:U28)</f>
        <v/>
      </c>
      <c r="V29" s="35">
        <f>SUM($D$28:V28)</f>
        <v/>
      </c>
      <c r="W29" s="35">
        <f>SUM($D$28:W28)</f>
        <v/>
      </c>
      <c r="X29" s="35">
        <f>SUM($D$28:X28)</f>
        <v/>
      </c>
      <c r="Y29" s="35">
        <f>SUM($D$28:Y28)</f>
        <v/>
      </c>
      <c r="Z29" s="35">
        <f>SUM($D$28:Z28)</f>
        <v/>
      </c>
      <c r="AA29" s="35">
        <f>SUM($D$28:AA28)</f>
        <v/>
      </c>
      <c r="AB29" s="35">
        <f>SUM($D$28:AB28)</f>
        <v/>
      </c>
      <c r="AC29" s="35">
        <f>SUM($D$28:AC28)</f>
        <v/>
      </c>
      <c r="AD29" s="35">
        <f>SUM($D$28:AD28)</f>
        <v/>
      </c>
      <c r="AE29" s="35">
        <f>SUM($D$28:AE28)</f>
        <v/>
      </c>
      <c r="AF29" s="35">
        <f>SUM($D$28:AF28)</f>
        <v/>
      </c>
      <c r="AG29" s="35">
        <f>SUM($D$28:AG28)</f>
        <v/>
      </c>
      <c r="AH29" s="35">
        <f>SUM($D$28:AH28)</f>
        <v/>
      </c>
      <c r="AI29" s="35">
        <f>SUM($D$28:AI28)</f>
        <v/>
      </c>
      <c r="AJ29" s="35">
        <f>SUM($D$28:AJ28)</f>
        <v/>
      </c>
      <c r="AK29" s="35">
        <f>SUM($D$28:AK28)</f>
        <v/>
      </c>
      <c r="AL29" s="35">
        <f>SUM($D$28:AL28)</f>
        <v/>
      </c>
      <c r="AM29" s="35">
        <f>SUM($D$28:AM28)</f>
        <v/>
      </c>
      <c r="AN29" s="35">
        <f>SUM($D$28:AN28)</f>
        <v/>
      </c>
      <c r="AO29" s="35">
        <f>SUM($D$28:AO28)</f>
        <v/>
      </c>
      <c r="AP29" s="35">
        <f>SUM($D$28:AP28)</f>
        <v/>
      </c>
      <c r="AQ29" s="35">
        <f>SUM($D$28:AQ28)</f>
        <v/>
      </c>
      <c r="AR29" s="35">
        <f>SUM($D$28:AR28)</f>
        <v/>
      </c>
      <c r="AS29" s="35">
        <f>SUM($D$28:AS28)</f>
        <v/>
      </c>
      <c r="AT29" s="35">
        <f>SUM($D$28:AT28)</f>
        <v/>
      </c>
      <c r="AU29" s="35">
        <f>SUM($D$28:AU28)</f>
        <v/>
      </c>
      <c r="AV29" s="35">
        <f>SUM($D$28:AV28)</f>
        <v/>
      </c>
      <c r="AW29" s="35">
        <f>SUM($D$28:AW28)</f>
        <v/>
      </c>
      <c r="AX29" s="35">
        <f>SUM($D$28:AX28)</f>
        <v/>
      </c>
      <c r="AY29" s="35">
        <f>SUM($D$28:AY28)</f>
        <v/>
      </c>
      <c r="AZ29" s="35">
        <f>SUM($D$28:AZ28)</f>
        <v/>
      </c>
      <c r="BA29" s="35">
        <f>SUM($D$28:BA28)</f>
        <v/>
      </c>
      <c r="BB29" s="35">
        <f>SUM($D$28:BB28)</f>
        <v/>
      </c>
      <c r="BC29" s="35">
        <f>SUM($D$28:BC28)</f>
        <v/>
      </c>
      <c r="BD29" s="35">
        <f>SUM($D$28:BD28)</f>
        <v/>
      </c>
      <c r="BE29" s="35">
        <f>SUM($D$28:BE28)</f>
        <v/>
      </c>
      <c r="BF29" s="35">
        <f>SUM($D$28:BF28)</f>
        <v/>
      </c>
      <c r="BG29" s="35">
        <f>SUM($D$28:BG28)</f>
        <v/>
      </c>
      <c r="BH29" s="35">
        <f>SUM($D$28:BH28)</f>
        <v/>
      </c>
      <c r="BI29" s="35">
        <f>SUM($D$28:BI28)</f>
        <v/>
      </c>
      <c r="BJ29" s="35">
        <f>SUM($D$28:BJ28)</f>
        <v/>
      </c>
      <c r="BK29" s="35">
        <f>SUM($D$28:BK28)</f>
        <v/>
      </c>
    </row>
    <row r="30">
      <c r="A30" s="14" t="inlineStr">
        <is>
          <t>Equity raised</t>
        </is>
      </c>
      <c r="B30" s="3" t="inlineStr"/>
      <c r="C30" s="2" t="n"/>
      <c r="D30" s="24">
        <f>IF(D$4=1,RAISE_NGN,0)</f>
        <v/>
      </c>
      <c r="E30" s="24">
        <f>IF(E$4=1,RAISE_NGN,0)</f>
        <v/>
      </c>
      <c r="F30" s="24">
        <f>IF(F$4=1,RAISE_NGN,0)</f>
        <v/>
      </c>
      <c r="G30" s="24">
        <f>IF(G$4=1,RAISE_NGN,0)</f>
        <v/>
      </c>
      <c r="H30" s="24">
        <f>IF(H$4=1,RAISE_NGN,0)</f>
        <v/>
      </c>
      <c r="I30" s="24">
        <f>IF(I$4=1,RAISE_NGN,0)</f>
        <v/>
      </c>
      <c r="J30" s="24">
        <f>IF(J$4=1,RAISE_NGN,0)</f>
        <v/>
      </c>
      <c r="K30" s="24">
        <f>IF(K$4=1,RAISE_NGN,0)</f>
        <v/>
      </c>
      <c r="L30" s="24">
        <f>IF(L$4=1,RAISE_NGN,0)</f>
        <v/>
      </c>
      <c r="M30" s="24">
        <f>IF(M$4=1,RAISE_NGN,0)</f>
        <v/>
      </c>
      <c r="N30" s="24">
        <f>IF(N$4=1,RAISE_NGN,0)</f>
        <v/>
      </c>
      <c r="O30" s="24">
        <f>IF(O$4=1,RAISE_NGN,0)</f>
        <v/>
      </c>
      <c r="P30" s="24">
        <f>IF(P$4=1,RAISE_NGN,0)</f>
        <v/>
      </c>
      <c r="Q30" s="24">
        <f>IF(Q$4=1,RAISE_NGN,0)</f>
        <v/>
      </c>
      <c r="R30" s="24">
        <f>IF(R$4=1,RAISE_NGN,0)</f>
        <v/>
      </c>
      <c r="S30" s="24">
        <f>IF(S$4=1,RAISE_NGN,0)</f>
        <v/>
      </c>
      <c r="T30" s="24">
        <f>IF(T$4=1,RAISE_NGN,0)</f>
        <v/>
      </c>
      <c r="U30" s="24">
        <f>IF(U$4=1,RAISE_NGN,0)</f>
        <v/>
      </c>
      <c r="V30" s="24">
        <f>IF(V$4=1,RAISE_NGN,0)</f>
        <v/>
      </c>
      <c r="W30" s="24">
        <f>IF(W$4=1,RAISE_NGN,0)</f>
        <v/>
      </c>
      <c r="X30" s="24">
        <f>IF(X$4=1,RAISE_NGN,0)</f>
        <v/>
      </c>
      <c r="Y30" s="24">
        <f>IF(Y$4=1,RAISE_NGN,0)</f>
        <v/>
      </c>
      <c r="Z30" s="24">
        <f>IF(Z$4=1,RAISE_NGN,0)</f>
        <v/>
      </c>
      <c r="AA30" s="24">
        <f>IF(AA$4=1,RAISE_NGN,0)</f>
        <v/>
      </c>
      <c r="AB30" s="24">
        <f>IF(AB$4=1,RAISE_NGN,0)</f>
        <v/>
      </c>
      <c r="AC30" s="24">
        <f>IF(AC$4=1,RAISE_NGN,0)</f>
        <v/>
      </c>
      <c r="AD30" s="24">
        <f>IF(AD$4=1,RAISE_NGN,0)</f>
        <v/>
      </c>
      <c r="AE30" s="24">
        <f>IF(AE$4=1,RAISE_NGN,0)</f>
        <v/>
      </c>
      <c r="AF30" s="24">
        <f>IF(AF$4=1,RAISE_NGN,0)</f>
        <v/>
      </c>
      <c r="AG30" s="24">
        <f>IF(AG$4=1,RAISE_NGN,0)</f>
        <v/>
      </c>
      <c r="AH30" s="24">
        <f>IF(AH$4=1,RAISE_NGN,0)</f>
        <v/>
      </c>
      <c r="AI30" s="24">
        <f>IF(AI$4=1,RAISE_NGN,0)</f>
        <v/>
      </c>
      <c r="AJ30" s="24">
        <f>IF(AJ$4=1,RAISE_NGN,0)</f>
        <v/>
      </c>
      <c r="AK30" s="24">
        <f>IF(AK$4=1,RAISE_NGN,0)</f>
        <v/>
      </c>
      <c r="AL30" s="24">
        <f>IF(AL$4=1,RAISE_NGN,0)</f>
        <v/>
      </c>
      <c r="AM30" s="24">
        <f>IF(AM$4=1,RAISE_NGN,0)</f>
        <v/>
      </c>
      <c r="AN30" s="24">
        <f>IF(AN$4=1,RAISE_NGN,0)</f>
        <v/>
      </c>
      <c r="AO30" s="24">
        <f>IF(AO$4=1,RAISE_NGN,0)</f>
        <v/>
      </c>
      <c r="AP30" s="24">
        <f>IF(AP$4=1,RAISE_NGN,0)</f>
        <v/>
      </c>
      <c r="AQ30" s="24">
        <f>IF(AQ$4=1,RAISE_NGN,0)</f>
        <v/>
      </c>
      <c r="AR30" s="24">
        <f>IF(AR$4=1,RAISE_NGN,0)</f>
        <v/>
      </c>
      <c r="AS30" s="24">
        <f>IF(AS$4=1,RAISE_NGN,0)</f>
        <v/>
      </c>
      <c r="AT30" s="24">
        <f>IF(AT$4=1,RAISE_NGN,0)</f>
        <v/>
      </c>
      <c r="AU30" s="24">
        <f>IF(AU$4=1,RAISE_NGN,0)</f>
        <v/>
      </c>
      <c r="AV30" s="24">
        <f>IF(AV$4=1,RAISE_NGN,0)</f>
        <v/>
      </c>
      <c r="AW30" s="24">
        <f>IF(AW$4=1,RAISE_NGN,0)</f>
        <v/>
      </c>
      <c r="AX30" s="24">
        <f>IF(AX$4=1,RAISE_NGN,0)</f>
        <v/>
      </c>
      <c r="AY30" s="24">
        <f>IF(AY$4=1,RAISE_NGN,0)</f>
        <v/>
      </c>
      <c r="AZ30" s="24">
        <f>IF(AZ$4=1,RAISE_NGN,0)</f>
        <v/>
      </c>
      <c r="BA30" s="24">
        <f>IF(BA$4=1,RAISE_NGN,0)</f>
        <v/>
      </c>
      <c r="BB30" s="24">
        <f>IF(BB$4=1,RAISE_NGN,0)</f>
        <v/>
      </c>
      <c r="BC30" s="24">
        <f>IF(BC$4=1,RAISE_NGN,0)</f>
        <v/>
      </c>
      <c r="BD30" s="24">
        <f>IF(BD$4=1,RAISE_NGN,0)</f>
        <v/>
      </c>
      <c r="BE30" s="24">
        <f>IF(BE$4=1,RAISE_NGN,0)</f>
        <v/>
      </c>
      <c r="BF30" s="24">
        <f>IF(BF$4=1,RAISE_NGN,0)</f>
        <v/>
      </c>
      <c r="BG30" s="24">
        <f>IF(BG$4=1,RAISE_NGN,0)</f>
        <v/>
      </c>
      <c r="BH30" s="24">
        <f>IF(BH$4=1,RAISE_NGN,0)</f>
        <v/>
      </c>
      <c r="BI30" s="24">
        <f>IF(BI$4=1,RAISE_NGN,0)</f>
        <v/>
      </c>
      <c r="BJ30" s="24">
        <f>IF(BJ$4=1,RAISE_NGN,0)</f>
        <v/>
      </c>
      <c r="BK30" s="24">
        <f>IF(BK$4=1,RAISE_NGN,0)</f>
        <v/>
      </c>
    </row>
    <row r="31">
      <c r="A31" s="30" t="inlineStr">
        <is>
          <t>Cash balance</t>
        </is>
      </c>
      <c r="B31" s="3" t="inlineStr"/>
      <c r="C31" s="2" t="n"/>
      <c r="D31" s="33">
        <f>D29+SUM($D$30:D30)</f>
        <v/>
      </c>
      <c r="E31" s="33">
        <f>E29+SUM($D$30:E30)</f>
        <v/>
      </c>
      <c r="F31" s="33">
        <f>F29+SUM($D$30:F30)</f>
        <v/>
      </c>
      <c r="G31" s="33">
        <f>G29+SUM($D$30:G30)</f>
        <v/>
      </c>
      <c r="H31" s="33">
        <f>H29+SUM($D$30:H30)</f>
        <v/>
      </c>
      <c r="I31" s="33">
        <f>I29+SUM($D$30:I30)</f>
        <v/>
      </c>
      <c r="J31" s="33">
        <f>J29+SUM($D$30:J30)</f>
        <v/>
      </c>
      <c r="K31" s="33">
        <f>K29+SUM($D$30:K30)</f>
        <v/>
      </c>
      <c r="L31" s="33">
        <f>L29+SUM($D$30:L30)</f>
        <v/>
      </c>
      <c r="M31" s="33">
        <f>M29+SUM($D$30:M30)</f>
        <v/>
      </c>
      <c r="N31" s="33">
        <f>N29+SUM($D$30:N30)</f>
        <v/>
      </c>
      <c r="O31" s="33">
        <f>O29+SUM($D$30:O30)</f>
        <v/>
      </c>
      <c r="P31" s="33">
        <f>P29+SUM($D$30:P30)</f>
        <v/>
      </c>
      <c r="Q31" s="33">
        <f>Q29+SUM($D$30:Q30)</f>
        <v/>
      </c>
      <c r="R31" s="33">
        <f>R29+SUM($D$30:R30)</f>
        <v/>
      </c>
      <c r="S31" s="33">
        <f>S29+SUM($D$30:S30)</f>
        <v/>
      </c>
      <c r="T31" s="33">
        <f>T29+SUM($D$30:T30)</f>
        <v/>
      </c>
      <c r="U31" s="33">
        <f>U29+SUM($D$30:U30)</f>
        <v/>
      </c>
      <c r="V31" s="33">
        <f>V29+SUM($D$30:V30)</f>
        <v/>
      </c>
      <c r="W31" s="33">
        <f>W29+SUM($D$30:W30)</f>
        <v/>
      </c>
      <c r="X31" s="33">
        <f>X29+SUM($D$30:X30)</f>
        <v/>
      </c>
      <c r="Y31" s="33">
        <f>Y29+SUM($D$30:Y30)</f>
        <v/>
      </c>
      <c r="Z31" s="33">
        <f>Z29+SUM($D$30:Z30)</f>
        <v/>
      </c>
      <c r="AA31" s="33">
        <f>AA29+SUM($D$30:AA30)</f>
        <v/>
      </c>
      <c r="AB31" s="33">
        <f>AB29+SUM($D$30:AB30)</f>
        <v/>
      </c>
      <c r="AC31" s="33">
        <f>AC29+SUM($D$30:AC30)</f>
        <v/>
      </c>
      <c r="AD31" s="33">
        <f>AD29+SUM($D$30:AD30)</f>
        <v/>
      </c>
      <c r="AE31" s="33">
        <f>AE29+SUM($D$30:AE30)</f>
        <v/>
      </c>
      <c r="AF31" s="33">
        <f>AF29+SUM($D$30:AF30)</f>
        <v/>
      </c>
      <c r="AG31" s="33">
        <f>AG29+SUM($D$30:AG30)</f>
        <v/>
      </c>
      <c r="AH31" s="33">
        <f>AH29+SUM($D$30:AH30)</f>
        <v/>
      </c>
      <c r="AI31" s="33">
        <f>AI29+SUM($D$30:AI30)</f>
        <v/>
      </c>
      <c r="AJ31" s="33">
        <f>AJ29+SUM($D$30:AJ30)</f>
        <v/>
      </c>
      <c r="AK31" s="33">
        <f>AK29+SUM($D$30:AK30)</f>
        <v/>
      </c>
      <c r="AL31" s="33">
        <f>AL29+SUM($D$30:AL30)</f>
        <v/>
      </c>
      <c r="AM31" s="33">
        <f>AM29+SUM($D$30:AM30)</f>
        <v/>
      </c>
      <c r="AN31" s="33">
        <f>AN29+SUM($D$30:AN30)</f>
        <v/>
      </c>
      <c r="AO31" s="33">
        <f>AO29+SUM($D$30:AO30)</f>
        <v/>
      </c>
      <c r="AP31" s="33">
        <f>AP29+SUM($D$30:AP30)</f>
        <v/>
      </c>
      <c r="AQ31" s="33">
        <f>AQ29+SUM($D$30:AQ30)</f>
        <v/>
      </c>
      <c r="AR31" s="33">
        <f>AR29+SUM($D$30:AR30)</f>
        <v/>
      </c>
      <c r="AS31" s="33">
        <f>AS29+SUM($D$30:AS30)</f>
        <v/>
      </c>
      <c r="AT31" s="33">
        <f>AT29+SUM($D$30:AT30)</f>
        <v/>
      </c>
      <c r="AU31" s="33">
        <f>AU29+SUM($D$30:AU30)</f>
        <v/>
      </c>
      <c r="AV31" s="33">
        <f>AV29+SUM($D$30:AV30)</f>
        <v/>
      </c>
      <c r="AW31" s="33">
        <f>AW29+SUM($D$30:AW30)</f>
        <v/>
      </c>
      <c r="AX31" s="33">
        <f>AX29+SUM($D$30:AX30)</f>
        <v/>
      </c>
      <c r="AY31" s="33">
        <f>AY29+SUM($D$30:AY30)</f>
        <v/>
      </c>
      <c r="AZ31" s="33">
        <f>AZ29+SUM($D$30:AZ30)</f>
        <v/>
      </c>
      <c r="BA31" s="33">
        <f>BA29+SUM($D$30:BA30)</f>
        <v/>
      </c>
      <c r="BB31" s="33">
        <f>BB29+SUM($D$30:BB30)</f>
        <v/>
      </c>
      <c r="BC31" s="33">
        <f>BC29+SUM($D$30:BC30)</f>
        <v/>
      </c>
      <c r="BD31" s="33">
        <f>BD29+SUM($D$30:BD30)</f>
        <v/>
      </c>
      <c r="BE31" s="33">
        <f>BE29+SUM($D$30:BE30)</f>
        <v/>
      </c>
      <c r="BF31" s="33">
        <f>BF29+SUM($D$30:BF30)</f>
        <v/>
      </c>
      <c r="BG31" s="33">
        <f>BG29+SUM($D$30:BG30)</f>
        <v/>
      </c>
      <c r="BH31" s="33">
        <f>BH29+SUM($D$30:BH30)</f>
        <v/>
      </c>
      <c r="BI31" s="33">
        <f>BI29+SUM($D$30:BI30)</f>
        <v/>
      </c>
      <c r="BJ31" s="33">
        <f>BJ29+SUM($D$30:BJ30)</f>
        <v/>
      </c>
      <c r="BK31" s="33">
        <f>BK29+SUM($D$30:BK30)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</row>
    <row r="33">
      <c r="A33" s="4" t="inlineStr">
        <is>
          <t>Peak funding need</t>
        </is>
      </c>
      <c r="B33" s="35">
        <f>-MIN($D$29:$BK$29)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</row>
    <row r="34">
      <c r="A34" s="4" t="inlineStr">
        <is>
          <t>Month cash is lowest</t>
        </is>
      </c>
      <c r="B34" s="4">
        <f>INDEX($D$5:$BK$5,MATCH(MIN($D$29:$BK$29),$D$29:$BK$29,0))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</row>
    <row r="35">
      <c r="A35" s="4" t="inlineStr">
        <is>
          <t>EBITDA positive, and stays positive, from</t>
        </is>
      </c>
      <c r="B35" s="4">
        <f>IFERROR(INDEX($D$5:$BK$5,MATCH(1,'P&amp;L'!$D$25:$BK$25,0)),"Not in five years")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</row>
    <row r="36">
      <c r="A36" s="4" t="inlineStr">
        <is>
          <t>Lowest cash balance after the raise</t>
        </is>
      </c>
      <c r="B36" s="35">
        <f>MIN($D$31:$BK$31)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Ilé: five-year summary</t>
        </is>
      </c>
      <c r="B1" s="2" t="n"/>
      <c r="C1" s="2" t="n"/>
      <c r="D1" s="2" t="n"/>
      <c r="E1" s="2" t="n"/>
      <c r="F1" s="2" t="n"/>
    </row>
    <row r="2">
      <c r="A2" s="3" t="inlineStr">
        <is>
          <t>Year one is November 2026 to October 2027. Naira, before tax. Every figure sums the monthly sheets.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6" t="inlineStr"/>
      <c r="B4" s="37" t="inlineStr">
        <is>
          <t>Year 1</t>
        </is>
      </c>
      <c r="C4" s="37" t="inlineStr">
        <is>
          <t>Year 2</t>
        </is>
      </c>
      <c r="D4" s="37" t="inlineStr">
        <is>
          <t>Year 3</t>
        </is>
      </c>
      <c r="E4" s="37" t="inlineStr">
        <is>
          <t>Year 4</t>
        </is>
      </c>
      <c r="F4" s="37" t="inlineStr">
        <is>
          <t>Year 5</t>
        </is>
      </c>
    </row>
    <row r="5">
      <c r="A5" s="3" t="inlineStr">
        <is>
          <t>Period</t>
        </is>
      </c>
      <c r="B5" s="3" t="inlineStr">
        <is>
          <t>Nov 2026 to Oct 2027</t>
        </is>
      </c>
      <c r="C5" s="3" t="inlineStr">
        <is>
          <t>Nov 2027 to Oct 2028</t>
        </is>
      </c>
      <c r="D5" s="3" t="inlineStr">
        <is>
          <t>Nov 2028 to Oct 2029</t>
        </is>
      </c>
      <c r="E5" s="3" t="inlineStr">
        <is>
          <t>Nov 2029 to Oct 2030</t>
        </is>
      </c>
      <c r="F5" s="3" t="inlineStr">
        <is>
          <t>Nov 2030 to Oct 2031</t>
        </is>
      </c>
    </row>
    <row r="6">
      <c r="A6" s="12" t="inlineStr">
        <is>
          <t>Revenue by stream</t>
        </is>
      </c>
      <c r="B6" s="13" t="n"/>
      <c r="C6" s="13" t="n"/>
      <c r="D6" s="13" t="n"/>
      <c r="E6" s="13" t="n"/>
      <c r="F6" s="13" t="n"/>
    </row>
    <row r="7">
      <c r="A7" s="14" t="inlineStr">
        <is>
          <t>Concierge geriatric care</t>
        </is>
      </c>
      <c r="B7" s="5">
        <f>SUMIF('Revenue'!$D$6:$BK$6,1,'Revenue'!$D$9:$BK$9)</f>
        <v/>
      </c>
      <c r="C7" s="5">
        <f>SUMIF('Revenue'!$D$6:$BK$6,2,'Revenue'!$D$9:$BK$9)</f>
        <v/>
      </c>
      <c r="D7" s="5">
        <f>SUMIF('Revenue'!$D$6:$BK$6,3,'Revenue'!$D$9:$BK$9)</f>
        <v/>
      </c>
      <c r="E7" s="5">
        <f>SUMIF('Revenue'!$D$6:$BK$6,4,'Revenue'!$D$9:$BK$9)</f>
        <v/>
      </c>
      <c r="F7" s="5">
        <f>SUMIF('Revenue'!$D$6:$BK$6,5,'Revenue'!$D$9:$BK$9)</f>
        <v/>
      </c>
    </row>
    <row r="8">
      <c r="A8" s="14" t="inlineStr">
        <is>
          <t>Care at home</t>
        </is>
      </c>
      <c r="B8" s="5">
        <f>SUMIF('Revenue'!$D$6:$BK$6,1,'Revenue'!$D$10:$BK$10)</f>
        <v/>
      </c>
      <c r="C8" s="5">
        <f>SUMIF('Revenue'!$D$6:$BK$6,2,'Revenue'!$D$10:$BK$10)</f>
        <v/>
      </c>
      <c r="D8" s="5">
        <f>SUMIF('Revenue'!$D$6:$BK$6,3,'Revenue'!$D$10:$BK$10)</f>
        <v/>
      </c>
      <c r="E8" s="5">
        <f>SUMIF('Revenue'!$D$6:$BK$6,4,'Revenue'!$D$10:$BK$10)</f>
        <v/>
      </c>
      <c r="F8" s="5">
        <f>SUMIF('Revenue'!$D$6:$BK$6,5,'Revenue'!$D$10:$BK$10)</f>
        <v/>
      </c>
    </row>
    <row r="9">
      <c r="A9" s="14" t="inlineStr">
        <is>
          <t>Virtual consultations</t>
        </is>
      </c>
      <c r="B9" s="5">
        <f>SUMIF('Revenue'!$D$6:$BK$6,1,'Revenue'!$D$11:$BK$11)</f>
        <v/>
      </c>
      <c r="C9" s="5">
        <f>SUMIF('Revenue'!$D$6:$BK$6,2,'Revenue'!$D$11:$BK$11)</f>
        <v/>
      </c>
      <c r="D9" s="5">
        <f>SUMIF('Revenue'!$D$6:$BK$6,3,'Revenue'!$D$11:$BK$11)</f>
        <v/>
      </c>
      <c r="E9" s="5">
        <f>SUMIF('Revenue'!$D$6:$BK$6,4,'Revenue'!$D$11:$BK$11)</f>
        <v/>
      </c>
      <c r="F9" s="5">
        <f>SUMIF('Revenue'!$D$6:$BK$6,5,'Revenue'!$D$11:$BK$11)</f>
        <v/>
      </c>
    </row>
    <row r="10">
      <c r="A10" s="14" t="inlineStr">
        <is>
          <t>Post-operative rehabilitation</t>
        </is>
      </c>
      <c r="B10" s="5">
        <f>SUMIF('Revenue'!$D$6:$BK$6,1,'Revenue'!$D$12:$BK$12)</f>
        <v/>
      </c>
      <c r="C10" s="5">
        <f>SUMIF('Revenue'!$D$6:$BK$6,2,'Revenue'!$D$12:$BK$12)</f>
        <v/>
      </c>
      <c r="D10" s="5">
        <f>SUMIF('Revenue'!$D$6:$BK$6,3,'Revenue'!$D$12:$BK$12)</f>
        <v/>
      </c>
      <c r="E10" s="5">
        <f>SUMIF('Revenue'!$D$6:$BK$6,4,'Revenue'!$D$12:$BK$12)</f>
        <v/>
      </c>
      <c r="F10" s="5">
        <f>SUMIF('Revenue'!$D$6:$BK$6,5,'Revenue'!$D$12:$BK$12)</f>
        <v/>
      </c>
    </row>
    <row r="11">
      <c r="A11" s="14" t="inlineStr">
        <is>
          <t>Palliative care at home</t>
        </is>
      </c>
      <c r="B11" s="5">
        <f>SUMIF('Revenue'!$D$6:$BK$6,1,'Revenue'!$D$13:$BK$13)</f>
        <v/>
      </c>
      <c r="C11" s="5">
        <f>SUMIF('Revenue'!$D$6:$BK$6,2,'Revenue'!$D$13:$BK$13)</f>
        <v/>
      </c>
      <c r="D11" s="5">
        <f>SUMIF('Revenue'!$D$6:$BK$6,3,'Revenue'!$D$13:$BK$13)</f>
        <v/>
      </c>
      <c r="E11" s="5">
        <f>SUMIF('Revenue'!$D$6:$BK$6,4,'Revenue'!$D$13:$BK$13)</f>
        <v/>
      </c>
      <c r="F11" s="5">
        <f>SUMIF('Revenue'!$D$6:$BK$6,5,'Revenue'!$D$13:$BK$13)</f>
        <v/>
      </c>
    </row>
    <row r="12">
      <c r="A12" s="14" t="inlineStr">
        <is>
          <t>Residence, long-stay</t>
        </is>
      </c>
      <c r="B12" s="5">
        <f>SUMIF('Revenue'!$D$6:$BK$6,1,'Revenue'!$D$17:$BK$17)</f>
        <v/>
      </c>
      <c r="C12" s="5">
        <f>SUMIF('Revenue'!$D$6:$BK$6,2,'Revenue'!$D$17:$BK$17)</f>
        <v/>
      </c>
      <c r="D12" s="5">
        <f>SUMIF('Revenue'!$D$6:$BK$6,3,'Revenue'!$D$17:$BK$17)</f>
        <v/>
      </c>
      <c r="E12" s="5">
        <f>SUMIF('Revenue'!$D$6:$BK$6,4,'Revenue'!$D$17:$BK$17)</f>
        <v/>
      </c>
      <c r="F12" s="5">
        <f>SUMIF('Revenue'!$D$6:$BK$6,5,'Revenue'!$D$17:$BK$17)</f>
        <v/>
      </c>
    </row>
    <row r="13">
      <c r="A13" s="14" t="inlineStr">
        <is>
          <t>Step-down beds</t>
        </is>
      </c>
      <c r="B13" s="5">
        <f>SUMIF('Revenue'!$D$6:$BK$6,1,'Revenue'!$D$18:$BK$18)</f>
        <v/>
      </c>
      <c r="C13" s="5">
        <f>SUMIF('Revenue'!$D$6:$BK$6,2,'Revenue'!$D$18:$BK$18)</f>
        <v/>
      </c>
      <c r="D13" s="5">
        <f>SUMIF('Revenue'!$D$6:$BK$6,3,'Revenue'!$D$18:$BK$18)</f>
        <v/>
      </c>
      <c r="E13" s="5">
        <f>SUMIF('Revenue'!$D$6:$BK$6,4,'Revenue'!$D$18:$BK$18)</f>
        <v/>
      </c>
      <c r="F13" s="5">
        <f>SUMIF('Revenue'!$D$6:$BK$6,5,'Revenue'!$D$18:$BK$18)</f>
        <v/>
      </c>
    </row>
    <row r="14">
      <c r="A14" s="14" t="inlineStr">
        <is>
          <t>Palliative wing</t>
        </is>
      </c>
      <c r="B14" s="5">
        <f>SUMIF('Revenue'!$D$6:$BK$6,1,'Revenue'!$D$19:$BK$19)</f>
        <v/>
      </c>
      <c r="C14" s="5">
        <f>SUMIF('Revenue'!$D$6:$BK$6,2,'Revenue'!$D$19:$BK$19)</f>
        <v/>
      </c>
      <c r="D14" s="5">
        <f>SUMIF('Revenue'!$D$6:$BK$6,3,'Revenue'!$D$19:$BK$19)</f>
        <v/>
      </c>
      <c r="E14" s="5">
        <f>SUMIF('Revenue'!$D$6:$BK$6,4,'Revenue'!$D$19:$BK$19)</f>
        <v/>
      </c>
      <c r="F14" s="5">
        <f>SUMIF('Revenue'!$D$6:$BK$6,5,'Revenue'!$D$19:$BK$19)</f>
        <v/>
      </c>
    </row>
    <row r="15">
      <c r="A15" s="14" t="inlineStr">
        <is>
          <t>Mortuary preservation</t>
        </is>
      </c>
      <c r="B15" s="5">
        <f>SUMIF('Revenue'!$D$6:$BK$6,1,'Revenue'!$D$23:$BK$23)</f>
        <v/>
      </c>
      <c r="C15" s="5">
        <f>SUMIF('Revenue'!$D$6:$BK$6,2,'Revenue'!$D$23:$BK$23)</f>
        <v/>
      </c>
      <c r="D15" s="5">
        <f>SUMIF('Revenue'!$D$6:$BK$6,3,'Revenue'!$D$23:$BK$23)</f>
        <v/>
      </c>
      <c r="E15" s="5">
        <f>SUMIF('Revenue'!$D$6:$BK$6,4,'Revenue'!$D$23:$BK$23)</f>
        <v/>
      </c>
      <c r="F15" s="5">
        <f>SUMIF('Revenue'!$D$6:$BK$6,5,'Revenue'!$D$23:$BK$23)</f>
        <v/>
      </c>
    </row>
    <row r="16">
      <c r="A16" s="14" t="inlineStr">
        <is>
          <t>Preparation and repatriation</t>
        </is>
      </c>
      <c r="B16" s="5">
        <f>SUMIF('Revenue'!$D$6:$BK$6,1,'Revenue'!$D$24:$BK$24)</f>
        <v/>
      </c>
      <c r="C16" s="5">
        <f>SUMIF('Revenue'!$D$6:$BK$6,2,'Revenue'!$D$24:$BK$24)</f>
        <v/>
      </c>
      <c r="D16" s="5">
        <f>SUMIF('Revenue'!$D$6:$BK$6,3,'Revenue'!$D$24:$BK$24)</f>
        <v/>
      </c>
      <c r="E16" s="5">
        <f>SUMIF('Revenue'!$D$6:$BK$6,4,'Revenue'!$D$24:$BK$24)</f>
        <v/>
      </c>
      <c r="F16" s="5">
        <f>SUMIF('Revenue'!$D$6:$BK$6,5,'Revenue'!$D$24:$BK$24)</f>
        <v/>
      </c>
    </row>
    <row r="17">
      <c r="A17" s="14" t="inlineStr">
        <is>
          <t>Autopsy and pathology</t>
        </is>
      </c>
      <c r="B17" s="5">
        <f>SUMIF('Revenue'!$D$6:$BK$6,1,'Revenue'!$D$25:$BK$25)</f>
        <v/>
      </c>
      <c r="C17" s="5">
        <f>SUMIF('Revenue'!$D$6:$BK$6,2,'Revenue'!$D$25:$BK$25)</f>
        <v/>
      </c>
      <c r="D17" s="5">
        <f>SUMIF('Revenue'!$D$6:$BK$6,3,'Revenue'!$D$25:$BK$25)</f>
        <v/>
      </c>
      <c r="E17" s="5">
        <f>SUMIF('Revenue'!$D$6:$BK$6,4,'Revenue'!$D$25:$BK$25)</f>
        <v/>
      </c>
      <c r="F17" s="5">
        <f>SUMIF('Revenue'!$D$6:$BK$6,5,'Revenue'!$D$25:$BK$25)</f>
        <v/>
      </c>
    </row>
    <row r="18">
      <c r="A18" s="14" t="inlineStr">
        <is>
          <t>Software licences</t>
        </is>
      </c>
      <c r="B18" s="5">
        <f>SUMIF('Revenue'!$D$6:$BK$6,1,'Revenue'!$D$29:$BK$29)</f>
        <v/>
      </c>
      <c r="C18" s="5">
        <f>SUMIF('Revenue'!$D$6:$BK$6,2,'Revenue'!$D$29:$BK$29)</f>
        <v/>
      </c>
      <c r="D18" s="5">
        <f>SUMIF('Revenue'!$D$6:$BK$6,3,'Revenue'!$D$29:$BK$29)</f>
        <v/>
      </c>
      <c r="E18" s="5">
        <f>SUMIF('Revenue'!$D$6:$BK$6,4,'Revenue'!$D$29:$BK$29)</f>
        <v/>
      </c>
      <c r="F18" s="5">
        <f>SUMIF('Revenue'!$D$6:$BK$6,5,'Revenue'!$D$29:$BK$29)</f>
        <v/>
      </c>
    </row>
    <row r="19">
      <c r="A19" s="12" t="inlineStr">
        <is>
          <t>Revenue by business line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Care in the home</t>
        </is>
      </c>
      <c r="B20" s="5">
        <f>SUMIF('Revenue'!$D$6:$BK$6,1,'Revenue'!$D$14:$BK$14)</f>
        <v/>
      </c>
      <c r="C20" s="5">
        <f>SUMIF('Revenue'!$D$6:$BK$6,2,'Revenue'!$D$14:$BK$14)</f>
        <v/>
      </c>
      <c r="D20" s="5">
        <f>SUMIF('Revenue'!$D$6:$BK$6,3,'Revenue'!$D$14:$BK$14)</f>
        <v/>
      </c>
      <c r="E20" s="5">
        <f>SUMIF('Revenue'!$D$6:$BK$6,4,'Revenue'!$D$14:$BK$14)</f>
        <v/>
      </c>
      <c r="F20" s="5">
        <f>SUMIF('Revenue'!$D$6:$BK$6,5,'Revenue'!$D$14:$BK$14)</f>
        <v/>
      </c>
    </row>
    <row r="21">
      <c r="A21" s="14" t="inlineStr">
        <is>
          <t>Residential care</t>
        </is>
      </c>
      <c r="B21" s="5">
        <f>SUMIF('Revenue'!$D$6:$BK$6,1,'Revenue'!$D$20:$BK$20)</f>
        <v/>
      </c>
      <c r="C21" s="5">
        <f>SUMIF('Revenue'!$D$6:$BK$6,2,'Revenue'!$D$20:$BK$20)</f>
        <v/>
      </c>
      <c r="D21" s="5">
        <f>SUMIF('Revenue'!$D$6:$BK$6,3,'Revenue'!$D$20:$BK$20)</f>
        <v/>
      </c>
      <c r="E21" s="5">
        <f>SUMIF('Revenue'!$D$6:$BK$6,4,'Revenue'!$D$20:$BK$20)</f>
        <v/>
      </c>
      <c r="F21" s="5">
        <f>SUMIF('Revenue'!$D$6:$BK$6,5,'Revenue'!$D$20:$BK$20)</f>
        <v/>
      </c>
    </row>
    <row r="22">
      <c r="A22" s="14" t="inlineStr">
        <is>
          <t>Mortuary and pathology</t>
        </is>
      </c>
      <c r="B22" s="5">
        <f>SUMIF('Revenue'!$D$6:$BK$6,1,'Revenue'!$D$26:$BK$26)</f>
        <v/>
      </c>
      <c r="C22" s="5">
        <f>SUMIF('Revenue'!$D$6:$BK$6,2,'Revenue'!$D$26:$BK$26)</f>
        <v/>
      </c>
      <c r="D22" s="5">
        <f>SUMIF('Revenue'!$D$6:$BK$6,3,'Revenue'!$D$26:$BK$26)</f>
        <v/>
      </c>
      <c r="E22" s="5">
        <f>SUMIF('Revenue'!$D$6:$BK$6,4,'Revenue'!$D$26:$BK$26)</f>
        <v/>
      </c>
      <c r="F22" s="5">
        <f>SUMIF('Revenue'!$D$6:$BK$6,5,'Revenue'!$D$26:$BK$26)</f>
        <v/>
      </c>
    </row>
    <row r="23">
      <c r="A23" s="14" t="inlineStr">
        <is>
          <t>Software</t>
        </is>
      </c>
      <c r="B23" s="5">
        <f>SUMIF('Revenue'!$D$6:$BK$6,1,'Revenue'!$D$30:$BK$30)</f>
        <v/>
      </c>
      <c r="C23" s="5">
        <f>SUMIF('Revenue'!$D$6:$BK$6,2,'Revenue'!$D$30:$BK$30)</f>
        <v/>
      </c>
      <c r="D23" s="5">
        <f>SUMIF('Revenue'!$D$6:$BK$6,3,'Revenue'!$D$30:$BK$30)</f>
        <v/>
      </c>
      <c r="E23" s="5">
        <f>SUMIF('Revenue'!$D$6:$BK$6,4,'Revenue'!$D$30:$BK$30)</f>
        <v/>
      </c>
      <c r="F23" s="5">
        <f>SUMIF('Revenue'!$D$6:$BK$6,5,'Revenue'!$D$30:$BK$30)</f>
        <v/>
      </c>
    </row>
    <row r="24">
      <c r="A24" s="30" t="inlineStr">
        <is>
          <t>Revenue</t>
        </is>
      </c>
      <c r="B24" s="38">
        <f>SUMIF('Revenue'!$D$6:$BK$6,1,'Revenue'!$D$32:$BK$32)</f>
        <v/>
      </c>
      <c r="C24" s="38">
        <f>SUMIF('Revenue'!$D$6:$BK$6,2,'Revenue'!$D$32:$BK$32)</f>
        <v/>
      </c>
      <c r="D24" s="38">
        <f>SUMIF('Revenue'!$D$6:$BK$6,3,'Revenue'!$D$32:$BK$32)</f>
        <v/>
      </c>
      <c r="E24" s="38">
        <f>SUMIF('Revenue'!$D$6:$BK$6,4,'Revenue'!$D$32:$BK$32)</f>
        <v/>
      </c>
      <c r="F24" s="38">
        <f>SUMIF('Revenue'!$D$6:$BK$6,5,'Revenue'!$D$32:$BK$32)</f>
        <v/>
      </c>
    </row>
    <row r="25">
      <c r="A25" s="12" t="inlineStr">
        <is>
          <t>Costs</t>
        </is>
      </c>
      <c r="B25" s="13" t="n"/>
      <c r="C25" s="13" t="n"/>
      <c r="D25" s="13" t="n"/>
      <c r="E25" s="13" t="n"/>
      <c r="F25" s="13" t="n"/>
    </row>
    <row r="26">
      <c r="A26" s="14" t="inlineStr">
        <is>
          <t>Direct costs</t>
        </is>
      </c>
      <c r="B26" s="5">
        <f>SUMIF('Costs'!$D$6:$BK$6,1,'Costs'!$D$18:$BK$18)</f>
        <v/>
      </c>
      <c r="C26" s="5">
        <f>SUMIF('Costs'!$D$6:$BK$6,2,'Costs'!$D$18:$BK$18)</f>
        <v/>
      </c>
      <c r="D26" s="5">
        <f>SUMIF('Costs'!$D$6:$BK$6,3,'Costs'!$D$18:$BK$18)</f>
        <v/>
      </c>
      <c r="E26" s="5">
        <f>SUMIF('Costs'!$D$6:$BK$6,4,'Costs'!$D$18:$BK$18)</f>
        <v/>
      </c>
      <c r="F26" s="5">
        <f>SUMIF('Costs'!$D$6:$BK$6,5,'Costs'!$D$18:$BK$18)</f>
        <v/>
      </c>
    </row>
    <row r="27">
      <c r="A27" s="14" t="inlineStr">
        <is>
          <t>Site operating costs</t>
        </is>
      </c>
      <c r="B27" s="5">
        <f>SUMIF('Costs'!$D$6:$BK$6,1,'Costs'!$D$32:$BK$32)</f>
        <v/>
      </c>
      <c r="C27" s="5">
        <f>SUMIF('Costs'!$D$6:$BK$6,2,'Costs'!$D$32:$BK$32)</f>
        <v/>
      </c>
      <c r="D27" s="5">
        <f>SUMIF('Costs'!$D$6:$BK$6,3,'Costs'!$D$32:$BK$32)</f>
        <v/>
      </c>
      <c r="E27" s="5">
        <f>SUMIF('Costs'!$D$6:$BK$6,4,'Costs'!$D$32:$BK$32)</f>
        <v/>
      </c>
      <c r="F27" s="5">
        <f>SUMIF('Costs'!$D$6:$BK$6,5,'Costs'!$D$32:$BK$32)</f>
        <v/>
      </c>
    </row>
    <row r="28">
      <c r="A28" s="14" t="inlineStr">
        <is>
          <t>Leases</t>
        </is>
      </c>
      <c r="B28" s="5">
        <f>SUMIF('Costs'!$D$6:$BK$6,1,'Costs'!$D$38:$BK$38)</f>
        <v/>
      </c>
      <c r="C28" s="5">
        <f>SUMIF('Costs'!$D$6:$BK$6,2,'Costs'!$D$38:$BK$38)</f>
        <v/>
      </c>
      <c r="D28" s="5">
        <f>SUMIF('Costs'!$D$6:$BK$6,3,'Costs'!$D$38:$BK$38)</f>
        <v/>
      </c>
      <c r="E28" s="5">
        <f>SUMIF('Costs'!$D$6:$BK$6,4,'Costs'!$D$38:$BK$38)</f>
        <v/>
      </c>
      <c r="F28" s="5">
        <f>SUMIF('Costs'!$D$6:$BK$6,5,'Costs'!$D$38:$BK$38)</f>
        <v/>
      </c>
    </row>
    <row r="29">
      <c r="A29" s="14" t="inlineStr">
        <is>
          <t>Central overhead</t>
        </is>
      </c>
      <c r="B29" s="5">
        <f>SUMIF('Costs'!$D$6:$BK$6,1,'Costs'!$D$43:$BK$43)</f>
        <v/>
      </c>
      <c r="C29" s="5">
        <f>SUMIF('Costs'!$D$6:$BK$6,2,'Costs'!$D$43:$BK$43)</f>
        <v/>
      </c>
      <c r="D29" s="5">
        <f>SUMIF('Costs'!$D$6:$BK$6,3,'Costs'!$D$43:$BK$43)</f>
        <v/>
      </c>
      <c r="E29" s="5">
        <f>SUMIF('Costs'!$D$6:$BK$6,4,'Costs'!$D$43:$BK$43)</f>
        <v/>
      </c>
      <c r="F29" s="5">
        <f>SUMIF('Costs'!$D$6:$BK$6,5,'Costs'!$D$43:$BK$43)</f>
        <v/>
      </c>
    </row>
    <row r="30">
      <c r="A30" s="30" t="inlineStr">
        <is>
          <t>EBITDA</t>
        </is>
      </c>
      <c r="B30" s="38">
        <f>SUMIF('P&amp;L'!$D$6:$BK$6,1,'P&amp;L'!$D$23:$BK$23)</f>
        <v/>
      </c>
      <c r="C30" s="38">
        <f>SUMIF('P&amp;L'!$D$6:$BK$6,2,'P&amp;L'!$D$23:$BK$23)</f>
        <v/>
      </c>
      <c r="D30" s="38">
        <f>SUMIF('P&amp;L'!$D$6:$BK$6,3,'P&amp;L'!$D$23:$BK$23)</f>
        <v/>
      </c>
      <c r="E30" s="38">
        <f>SUMIF('P&amp;L'!$D$6:$BK$6,4,'P&amp;L'!$D$23:$BK$23)</f>
        <v/>
      </c>
      <c r="F30" s="38">
        <f>SUMIF('P&amp;L'!$D$6:$BK$6,5,'P&amp;L'!$D$23:$BK$23)</f>
        <v/>
      </c>
    </row>
    <row r="31">
      <c r="A31" s="14" t="inlineStr">
        <is>
          <t>EBITDA margin</t>
        </is>
      </c>
      <c r="B31" s="39">
        <f>IF(B24=0,0,B30/B24)</f>
        <v/>
      </c>
      <c r="C31" s="39">
        <f>IF(C24=0,0,C30/C24)</f>
        <v/>
      </c>
      <c r="D31" s="39">
        <f>IF(D24=0,0,D30/D24)</f>
        <v/>
      </c>
      <c r="E31" s="39">
        <f>IF(E24=0,0,E30/E24)</f>
        <v/>
      </c>
      <c r="F31" s="39">
        <f>IF(F24=0,0,F30/F24)</f>
        <v/>
      </c>
    </row>
    <row r="32">
      <c r="A32" s="12" t="inlineStr">
        <is>
          <t>Cash</t>
        </is>
      </c>
      <c r="B32" s="13" t="n"/>
      <c r="C32" s="13" t="n"/>
      <c r="D32" s="13" t="n"/>
      <c r="E32" s="13" t="n"/>
      <c r="F32" s="13" t="n"/>
    </row>
    <row r="33">
      <c r="A33" s="14" t="inlineStr">
        <is>
          <t>Leases paid</t>
        </is>
      </c>
      <c r="B33" s="5">
        <f>SUMIF('Cash Flow'!$D$6:$BK$6,1,'Cash Flow'!$D$14:$BK$14)</f>
        <v/>
      </c>
      <c r="C33" s="5">
        <f>SUMIF('Cash Flow'!$D$6:$BK$6,2,'Cash Flow'!$D$14:$BK$14)</f>
        <v/>
      </c>
      <c r="D33" s="5">
        <f>SUMIF('Cash Flow'!$D$6:$BK$6,3,'Cash Flow'!$D$14:$BK$14)</f>
        <v/>
      </c>
      <c r="E33" s="5">
        <f>SUMIF('Cash Flow'!$D$6:$BK$6,4,'Cash Flow'!$D$14:$BK$14)</f>
        <v/>
      </c>
      <c r="F33" s="5">
        <f>SUMIF('Cash Flow'!$D$6:$BK$6,5,'Cash Flow'!$D$14:$BK$14)</f>
        <v/>
      </c>
    </row>
    <row r="34">
      <c r="A34" s="14" t="inlineStr">
        <is>
          <t>Capital spend</t>
        </is>
      </c>
      <c r="B34" s="5">
        <f>SUMIF('Cash Flow'!$D$6:$BK$6,1,'Cash Flow'!$D$24:$BK$24)</f>
        <v/>
      </c>
      <c r="C34" s="5">
        <f>SUMIF('Cash Flow'!$D$6:$BK$6,2,'Cash Flow'!$D$24:$BK$24)</f>
        <v/>
      </c>
      <c r="D34" s="5">
        <f>SUMIF('Cash Flow'!$D$6:$BK$6,3,'Cash Flow'!$D$24:$BK$24)</f>
        <v/>
      </c>
      <c r="E34" s="5">
        <f>SUMIF('Cash Flow'!$D$6:$BK$6,4,'Cash Flow'!$D$24:$BK$24)</f>
        <v/>
      </c>
      <c r="F34" s="5">
        <f>SUMIF('Cash Flow'!$D$6:$BK$6,5,'Cash Flow'!$D$24:$BK$24)</f>
        <v/>
      </c>
    </row>
    <row r="35">
      <c r="A35" s="14" t="inlineStr">
        <is>
          <t>Deposits received</t>
        </is>
      </c>
      <c r="B35" s="5">
        <f>SUMIF('Cash Flow'!$D$6:$BK$6,1,'Cash Flow'!$D$26:$BK$26)</f>
        <v/>
      </c>
      <c r="C35" s="5">
        <f>SUMIF('Cash Flow'!$D$6:$BK$6,2,'Cash Flow'!$D$26:$BK$26)</f>
        <v/>
      </c>
      <c r="D35" s="5">
        <f>SUMIF('Cash Flow'!$D$6:$BK$6,3,'Cash Flow'!$D$26:$BK$26)</f>
        <v/>
      </c>
      <c r="E35" s="5">
        <f>SUMIF('Cash Flow'!$D$6:$BK$6,4,'Cash Flow'!$D$26:$BK$26)</f>
        <v/>
      </c>
      <c r="F35" s="5">
        <f>SUMIF('Cash Flow'!$D$6:$BK$6,5,'Cash Flow'!$D$26:$BK$26)</f>
        <v/>
      </c>
    </row>
    <row r="36">
      <c r="A36" s="30" t="inlineStr">
        <is>
          <t>Net cash flow before funding</t>
        </is>
      </c>
      <c r="B36" s="38">
        <f>SUMIF('Cash Flow'!$D$6:$BK$6,1,'Cash Flow'!$D$28:$BK$28)</f>
        <v/>
      </c>
      <c r="C36" s="38">
        <f>SUMIF('Cash Flow'!$D$6:$BK$6,2,'Cash Flow'!$D$28:$BK$28)</f>
        <v/>
      </c>
      <c r="D36" s="38">
        <f>SUMIF('Cash Flow'!$D$6:$BK$6,3,'Cash Flow'!$D$28:$BK$28)</f>
        <v/>
      </c>
      <c r="E36" s="38">
        <f>SUMIF('Cash Flow'!$D$6:$BK$6,4,'Cash Flow'!$D$28:$BK$28)</f>
        <v/>
      </c>
      <c r="F36" s="38">
        <f>SUMIF('Cash Flow'!$D$6:$BK$6,5,'Cash Flow'!$D$28:$BK$28)</f>
        <v/>
      </c>
    </row>
    <row r="37">
      <c r="A37" s="4" t="inlineStr">
        <is>
          <t>Cumulative cash before funding, year end</t>
        </is>
      </c>
      <c r="B37" s="5">
        <f>INDEX('Cash Flow'!$D$29:$BK$29,12)</f>
        <v/>
      </c>
      <c r="C37" s="5">
        <f>INDEX('Cash Flow'!$D$29:$BK$29,24)</f>
        <v/>
      </c>
      <c r="D37" s="5">
        <f>INDEX('Cash Flow'!$D$29:$BK$29,36)</f>
        <v/>
      </c>
      <c r="E37" s="5">
        <f>INDEX('Cash Flow'!$D$29:$BK$29,48)</f>
        <v/>
      </c>
      <c r="F37" s="5">
        <f>INDEX('Cash Flow'!$D$29:$BK$29,60)</f>
        <v/>
      </c>
    </row>
    <row r="38">
      <c r="A38" s="4" t="inlineStr">
        <is>
          <t>Cash balance after the raise, year end</t>
        </is>
      </c>
      <c r="B38" s="5">
        <f>INDEX('Cash Flow'!$D$31:$BK$31,12)</f>
        <v/>
      </c>
      <c r="C38" s="5">
        <f>INDEX('Cash Flow'!$D$31:$BK$31,24)</f>
        <v/>
      </c>
      <c r="D38" s="5">
        <f>INDEX('Cash Flow'!$D$31:$BK$31,36)</f>
        <v/>
      </c>
      <c r="E38" s="5">
        <f>INDEX('Cash Flow'!$D$31:$BK$31,48)</f>
        <v/>
      </c>
      <c r="F38" s="5">
        <f>INDEX('Cash Flow'!$D$31:$BK$31,60)</f>
        <v/>
      </c>
    </row>
    <row r="39">
      <c r="A39" s="2" t="n"/>
      <c r="B39" s="2" t="n"/>
      <c r="C39" s="2" t="n"/>
      <c r="D39" s="2" t="n"/>
      <c r="E39" s="2" t="n"/>
      <c r="F39" s="2" t="n"/>
    </row>
    <row r="40">
      <c r="A40" s="12" t="inlineStr">
        <is>
          <t>Year-end operating measures</t>
        </is>
      </c>
      <c r="B40" s="13" t="n"/>
      <c r="C40" s="13" t="n"/>
      <c r="D40" s="13" t="n"/>
      <c r="E40" s="13" t="n"/>
      <c r="F40" s="13" t="n"/>
    </row>
    <row r="41">
      <c r="A41" s="14" t="inlineStr">
        <is>
          <t>Care at home clients</t>
        </is>
      </c>
      <c r="B41" s="40">
        <f>INDEX('Volumes'!$D$9:$BK$9,12)</f>
        <v/>
      </c>
      <c r="C41" s="40">
        <f>INDEX('Volumes'!$D$9:$BK$9,24)</f>
        <v/>
      </c>
      <c r="D41" s="40">
        <f>INDEX('Volumes'!$D$9:$BK$9,36)</f>
        <v/>
      </c>
      <c r="E41" s="40">
        <f>INDEX('Volumes'!$D$9:$BK$9,48)</f>
        <v/>
      </c>
      <c r="F41" s="40">
        <f>INDEX('Volumes'!$D$9:$BK$9,60)</f>
        <v/>
      </c>
    </row>
    <row r="42">
      <c r="A42" s="14" t="inlineStr">
        <is>
          <t>Concierge members</t>
        </is>
      </c>
      <c r="B42" s="40">
        <f>INDEX('Volumes'!$D$10:$BK$10,12)</f>
        <v/>
      </c>
      <c r="C42" s="40">
        <f>INDEX('Volumes'!$D$10:$BK$10,24)</f>
        <v/>
      </c>
      <c r="D42" s="40">
        <f>INDEX('Volumes'!$D$10:$BK$10,36)</f>
        <v/>
      </c>
      <c r="E42" s="40">
        <f>INDEX('Volumes'!$D$10:$BK$10,48)</f>
        <v/>
      </c>
      <c r="F42" s="40">
        <f>INDEX('Volumes'!$D$10:$BK$10,60)</f>
        <v/>
      </c>
    </row>
    <row r="43">
      <c r="A43" s="14" t="inlineStr">
        <is>
          <t>Occupied beds, both residences</t>
        </is>
      </c>
      <c r="B43" s="40">
        <f>INDEX('Volumes'!$D$22:$BK$22,12)</f>
        <v/>
      </c>
      <c r="C43" s="40">
        <f>INDEX('Volumes'!$D$22:$BK$22,24)</f>
        <v/>
      </c>
      <c r="D43" s="40">
        <f>INDEX('Volumes'!$D$22:$BK$22,36)</f>
        <v/>
      </c>
      <c r="E43" s="40">
        <f>INDEX('Volumes'!$D$22:$BK$22,48)</f>
        <v/>
      </c>
      <c r="F43" s="40">
        <f>INDEX('Volumes'!$D$22:$BK$22,60)</f>
        <v/>
      </c>
    </row>
    <row r="44">
      <c r="A44" s="14" t="inlineStr">
        <is>
          <t>Bodies held on an average day</t>
        </is>
      </c>
      <c r="B44" s="40">
        <f>INDEX('Volumes'!$D$26:$BK$26,12)</f>
        <v/>
      </c>
      <c r="C44" s="40">
        <f>INDEX('Volumes'!$D$26:$BK$26,24)</f>
        <v/>
      </c>
      <c r="D44" s="40">
        <f>INDEX('Volumes'!$D$26:$BK$26,36)</f>
        <v/>
      </c>
      <c r="E44" s="40">
        <f>INDEX('Volumes'!$D$26:$BK$26,48)</f>
        <v/>
      </c>
      <c r="F44" s="40">
        <f>INDEX('Volumes'!$D$26:$BK$26,60)</f>
        <v/>
      </c>
    </row>
    <row r="45">
      <c r="A45" s="14" t="inlineStr">
        <is>
          <t>Organisations licensing</t>
        </is>
      </c>
      <c r="B45" s="40">
        <f>INDEX('Volumes'!$D$32:$BK$32,12)</f>
        <v/>
      </c>
      <c r="C45" s="40">
        <f>INDEX('Volumes'!$D$32:$BK$32,24)</f>
        <v/>
      </c>
      <c r="D45" s="40">
        <f>INDEX('Volumes'!$D$32:$BK$32,36)</f>
        <v/>
      </c>
      <c r="E45" s="40">
        <f>INDEX('Volumes'!$D$32:$BK$32,48)</f>
        <v/>
      </c>
      <c r="F45" s="40">
        <f>INDEX('Volumes'!$D$32:$BK$32,60)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Ilé: unit economics at steady state</t>
        </is>
      </c>
      <c r="B1" s="2" t="n"/>
      <c r="C1" s="2" t="n"/>
      <c r="D1" s="2" t="n"/>
      <c r="E1" s="2" t="n"/>
    </row>
    <row r="2">
      <c r="A2" s="3" t="inlineStr">
        <is>
          <t>Per unit a month, from the assumptions.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2" t="inlineStr">
        <is>
          <t>Stream</t>
        </is>
      </c>
      <c r="B4" s="12" t="inlineStr">
        <is>
          <t>Revenue a month</t>
        </is>
      </c>
      <c r="C4" s="12" t="inlineStr">
        <is>
          <t>Direct cost</t>
        </is>
      </c>
      <c r="D4" s="12" t="inlineStr">
        <is>
          <t>Contribution</t>
        </is>
      </c>
      <c r="E4" s="12" t="inlineStr">
        <is>
          <t>Margin</t>
        </is>
      </c>
    </row>
    <row r="5">
      <c r="A5" s="2" t="inlineStr">
        <is>
          <t>Concierge, per member</t>
        </is>
      </c>
      <c r="B5" s="41">
        <f>CONC_FEE</f>
        <v/>
      </c>
      <c r="C5" s="41">
        <f>CONC_FEE*CONC_DIRECT</f>
        <v/>
      </c>
      <c r="D5" s="41">
        <f>B5-C5</f>
        <v/>
      </c>
      <c r="E5" s="39">
        <f>IF(B5=0,0,D5/B5)</f>
        <v/>
      </c>
    </row>
    <row r="6">
      <c r="A6" s="2" t="inlineStr">
        <is>
          <t>Care at home, per client</t>
        </is>
      </c>
      <c r="B6" s="41">
        <f>HOME_ARPU</f>
        <v/>
      </c>
      <c r="C6" s="41">
        <f>HOME_ARPU*HOME_DIRECT</f>
        <v/>
      </c>
      <c r="D6" s="41">
        <f>B6-C6</f>
        <v/>
      </c>
      <c r="E6" s="39">
        <f>IF(B6=0,0,D6/B6)</f>
        <v/>
      </c>
    </row>
    <row r="7">
      <c r="A7" s="2" t="inlineStr">
        <is>
          <t>Rehabilitation, per six-week package</t>
        </is>
      </c>
      <c r="B7" s="41">
        <f>REHAB_FEE</f>
        <v/>
      </c>
      <c r="C7" s="41">
        <f>REHAB_FEE*REHAB_DIRECT</f>
        <v/>
      </c>
      <c r="D7" s="41">
        <f>B7-C7</f>
        <v/>
      </c>
      <c r="E7" s="39">
        <f>IF(B7=0,0,D7/B7)</f>
        <v/>
      </c>
    </row>
    <row r="8">
      <c r="A8" s="2" t="inlineStr">
        <is>
          <t>Palliative at home, per patient</t>
        </is>
      </c>
      <c r="B8" s="41">
        <f>PALLH_FEE</f>
        <v/>
      </c>
      <c r="C8" s="41">
        <f>PALLH_FEE*PALLH_DIRECT</f>
        <v/>
      </c>
      <c r="D8" s="41">
        <f>B8-C8</f>
        <v/>
      </c>
      <c r="E8" s="39">
        <f>IF(B8=0,0,D8/B8)</f>
        <v/>
      </c>
    </row>
    <row r="9">
      <c r="A9" s="2" t="inlineStr">
        <is>
          <t>Virtual consultation, each</t>
        </is>
      </c>
      <c r="B9" s="41">
        <f>CONS_FEE</f>
        <v/>
      </c>
      <c r="C9" s="41">
        <f>CONS_FEE*CONS_DIRECT</f>
        <v/>
      </c>
      <c r="D9" s="41">
        <f>B9-C9</f>
        <v/>
      </c>
      <c r="E9" s="39">
        <f>IF(B9=0,0,D9/B9)</f>
        <v/>
      </c>
    </row>
    <row r="10">
      <c r="A10" s="2" t="inlineStr">
        <is>
          <t>Software, per organisation</t>
        </is>
      </c>
      <c r="B10" s="41">
        <f>SAAS_FEE</f>
        <v/>
      </c>
      <c r="C10" s="41">
        <f>SAAS_FEE*SAAS_DIRECT</f>
        <v/>
      </c>
      <c r="D10" s="41">
        <f>B10-C10</f>
        <v/>
      </c>
      <c r="E10" s="39">
        <f>IF(B10=0,0,D10/B10)</f>
        <v/>
      </c>
    </row>
    <row r="11">
      <c r="A11" s="2" t="inlineStr">
        <is>
          <t>Residence at ceiling, a month</t>
        </is>
      </c>
      <c r="B11" s="41">
        <f>RES_CAP*RES_FEE+STEP_CAP*DAYS_PM*STEP_DAY+PALL_CAP*PALL_FEE</f>
        <v/>
      </c>
      <c r="C11" s="41">
        <f>RES_STAFF+(RES_CAP+STEP_CAP+PALL_CAP)*RES_PER_BED+RES_UTIL+RES_OTHER+RES_LEASE_YR/12</f>
        <v/>
      </c>
      <c r="D11" s="41">
        <f>B11-C11</f>
        <v/>
      </c>
      <c r="E11" s="39">
        <f>IF(B11=0,0,D11/B11)</f>
        <v/>
      </c>
    </row>
    <row r="12">
      <c r="A12" s="2" t="inlineStr">
        <is>
          <t>Mortuary at 80 places, a month</t>
        </is>
      </c>
      <c r="B12" s="41">
        <f>MORT_CAP2*MORT_FILL*DAYS_PM*MORT_DAY+MORT_CAP2*MORT_FILL*DAYS_PM/MORT_STAY*MORT_CASE+REPAT_V3*REPAT_FEE+AUT_V3*AUT_FEE</f>
        <v/>
      </c>
      <c r="C12" s="41">
        <f>MSTAFF_V2+MPOWER_V2+MORT_OTHER+MORT_LEASE_YR/12+MORT_CAP2*MORT_FILL*DAYS_PM/MORT_STAY*MORT_CASE_COST+REPAT_V3*REPAT_FEE*REPAT_DIRECT+AUT_V3*AUT_FEE*AUT_DIRECT</f>
        <v/>
      </c>
      <c r="D12" s="41">
        <f>B12-C12</f>
        <v/>
      </c>
      <c r="E12" s="39">
        <f>IF(B12=0,0,D12/B12)</f>
        <v/>
      </c>
    </row>
    <row r="13">
      <c r="A13" s="2" t="n"/>
      <c r="B13" s="2" t="n"/>
      <c r="C13" s="2" t="n"/>
      <c r="D13" s="2" t="n"/>
      <c r="E13" s="2" t="n"/>
    </row>
    <row r="14">
      <c r="A14" s="3" t="inlineStr">
        <is>
          <t>Residence and mortuary rows are site EBITDA: they include staffing, running costs and the lease.</t>
        </is>
      </c>
      <c r="B14" s="2" t="n"/>
      <c r="C14" s="2" t="n"/>
      <c r="D14" s="2" t="n"/>
      <c r="E14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60" customWidth="1" min="3" max="3"/>
  </cols>
  <sheetData>
    <row r="1">
      <c r="A1" s="1" t="inlineStr">
        <is>
          <t>Ilé: Lagos market at premium prices</t>
        </is>
      </c>
      <c r="B1" s="2" t="n"/>
      <c r="C1" s="2" t="n"/>
    </row>
    <row r="2">
      <c r="A2" s="3" t="inlineStr">
        <is>
          <t>Bottom up, with checks against mature markets.</t>
        </is>
      </c>
      <c r="B2" s="2" t="n"/>
      <c r="C2" s="2" t="n"/>
    </row>
    <row r="3">
      <c r="A3" s="2" t="n"/>
      <c r="B3" s="2" t="n"/>
      <c r="C3" s="2" t="n"/>
    </row>
    <row r="4">
      <c r="A4" s="14" t="inlineStr">
        <is>
          <t>Lagos aged 60 and over</t>
        </is>
      </c>
      <c r="B4" s="42">
        <f>LAGOS_POP*SHARE_60</f>
        <v/>
      </c>
      <c r="C4" s="3" t="inlineStr"/>
    </row>
    <row r="5">
      <c r="A5" s="14" t="inlineStr">
        <is>
          <t>Of them dependent in daily living</t>
        </is>
      </c>
      <c r="B5" s="42">
        <f>B4*ADL_DEP</f>
        <v/>
      </c>
      <c r="C5" s="3" t="inlineStr"/>
    </row>
    <row r="6">
      <c r="A6" s="14" t="inlineStr">
        <is>
          <t>Deaths a year in Lagos</t>
        </is>
      </c>
      <c r="B6" s="42">
        <f>LAGOS_POP*DEATH_RATE</f>
        <v/>
      </c>
      <c r="C6" s="3" t="inlineStr"/>
    </row>
    <row r="7">
      <c r="A7" s="14" t="inlineStr">
        <is>
          <t>Care in the home</t>
        </is>
      </c>
      <c r="B7" s="41">
        <f>B5*PREMIUM*HOME_ARPU*12</f>
        <v/>
      </c>
      <c r="C7" s="3" t="inlineStr">
        <is>
          <t>Premium dependent elders at the care at home price</t>
        </is>
      </c>
    </row>
    <row r="8">
      <c r="A8" s="14" t="inlineStr">
        <is>
          <t>Residential care</t>
        </is>
      </c>
      <c r="B8" s="41">
        <f>B5*NEEDS_24H*PREMIUM*RES_FEE*12</f>
        <v/>
      </c>
      <c r="C8" s="3" t="inlineStr">
        <is>
          <t>Those needing round-the-clock care</t>
        </is>
      </c>
    </row>
    <row r="9">
      <c r="A9" s="14" t="inlineStr">
        <is>
          <t>Palliative care</t>
        </is>
      </c>
      <c r="B9" s="41">
        <f>B6*PALL_NEED*PREMIUM*PALL_MONTHS*PALL_FEE</f>
        <v/>
      </c>
      <c r="C9" s="3" t="inlineStr"/>
    </row>
    <row r="10">
      <c r="A10" s="14" t="inlineStr">
        <is>
          <t>Mortuary</t>
        </is>
      </c>
      <c r="B10" s="41">
        <f>B6*PRIVATE_MORT*(MORT_STAY*MORT_DAY+MORT_CASE)</f>
        <v/>
      </c>
      <c r="C10" s="3" t="inlineStr"/>
    </row>
    <row r="11">
      <c r="A11" s="4" t="inlineStr">
        <is>
          <t>Lagos premium market a year</t>
        </is>
      </c>
      <c r="B11" s="41">
        <f>SUM(B7:B10)</f>
        <v/>
      </c>
      <c r="C11" s="3" t="inlineStr"/>
    </row>
    <row r="12">
      <c r="A12" s="14" t="inlineStr">
        <is>
          <t>Ilé year-five revenue as a share</t>
        </is>
      </c>
      <c r="B12" s="39">
        <f>IF(B11=0,0,Y5_REV/B11)</f>
        <v/>
      </c>
      <c r="C12" s="3" t="inlineStr"/>
    </row>
    <row r="13">
      <c r="A13" s="14" t="inlineStr">
        <is>
          <t>Check: residents at the England care-home rate (2.5% of 65+)</t>
        </is>
      </c>
      <c r="B13" s="42">
        <f>B4*PREMIUM*0.025</f>
        <v/>
      </c>
      <c r="C13" s="3" t="inlineStr">
        <is>
          <t>ONS 2021</t>
        </is>
      </c>
    </row>
    <row r="14">
      <c r="A14" s="14" t="inlineStr">
        <is>
          <t>Check: palliative families at the US hospice rate (51.7%)</t>
        </is>
      </c>
      <c r="B14" s="42">
        <f>B6*PREMIUM*0.517</f>
        <v/>
      </c>
      <c r="C14" s="3" t="inlineStr">
        <is>
          <t>MedPAC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Ilé: the round and returns</t>
        </is>
      </c>
      <c r="B1" s="2" t="n"/>
      <c r="C1" s="2" t="n"/>
      <c r="D1" s="2" t="n"/>
      <c r="E1" s="2" t="n"/>
    </row>
    <row r="2">
      <c r="A2" s="3" t="inlineStr">
        <is>
          <t>Equity value at exit = year-five EBITDA x multiple + cash on hand.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Raise</t>
        </is>
      </c>
      <c r="B4" s="43">
        <f>RAISE_USD</f>
        <v/>
      </c>
      <c r="C4" s="2" t="n"/>
      <c r="D4" s="2" t="n"/>
      <c r="E4" s="2" t="n"/>
    </row>
    <row r="5">
      <c r="A5" s="2" t="inlineStr">
        <is>
          <t>Stake</t>
        </is>
      </c>
      <c r="B5" s="39">
        <f>STAKE</f>
        <v/>
      </c>
      <c r="C5" s="2" t="n"/>
      <c r="D5" s="2" t="n"/>
      <c r="E5" s="2" t="n"/>
    </row>
    <row r="6">
      <c r="A6" s="2" t="inlineStr">
        <is>
          <t>Pre-money</t>
        </is>
      </c>
      <c r="B6" s="43">
        <f>PRE_USD</f>
        <v/>
      </c>
      <c r="C6" s="2" t="n"/>
      <c r="D6" s="2" t="n"/>
      <c r="E6" s="2" t="n"/>
    </row>
    <row r="7">
      <c r="A7" s="2" t="inlineStr">
        <is>
          <t>Post-money</t>
        </is>
      </c>
      <c r="B7" s="43">
        <f>POST_USD</f>
        <v/>
      </c>
      <c r="C7" s="2" t="n"/>
      <c r="D7" s="2" t="n"/>
      <c r="E7" s="2" t="n"/>
    </row>
    <row r="8">
      <c r="A8" s="2" t="inlineStr">
        <is>
          <t>Year-five EBITDA, naira</t>
        </is>
      </c>
      <c r="B8" s="41">
        <f>Y5_EBITDA</f>
        <v/>
      </c>
      <c r="C8" s="2" t="n"/>
      <c r="D8" s="2" t="n"/>
      <c r="E8" s="2" t="n"/>
    </row>
    <row r="9">
      <c r="A9" s="2" t="inlineStr">
        <is>
          <t>Cash on hand at month 60, naira</t>
        </is>
      </c>
      <c r="B9" s="41">
        <f>INDEX('Cash Flow'!$D$31:$BK$31,60)</f>
        <v/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2" t="inlineStr">
        <is>
          <t>Exit multiple</t>
        </is>
      </c>
      <c r="B11" s="12" t="inlineStr">
        <is>
          <t>Equity value ($)</t>
        </is>
      </c>
      <c r="C11" s="12" t="inlineStr">
        <is>
          <t>Investor's stake ($)</t>
        </is>
      </c>
      <c r="D11" s="12" t="inlineStr">
        <is>
          <t>Multiple on raise</t>
        </is>
      </c>
      <c r="E11" s="12" t="inlineStr">
        <is>
          <t>Weak naira equity ($)</t>
        </is>
      </c>
    </row>
    <row r="12">
      <c r="A12" s="44">
        <f>EXIT_LO</f>
        <v/>
      </c>
      <c r="B12" s="43">
        <f>(A12*$B$8+$B$9)/FX</f>
        <v/>
      </c>
      <c r="C12" s="43">
        <f>B12*STAKE</f>
        <v/>
      </c>
      <c r="D12" s="44">
        <f>C12/RAISE_USD</f>
        <v/>
      </c>
      <c r="E12" s="43">
        <f>(A12*$B$8+$B$9)/FX_WEAK</f>
        <v/>
      </c>
    </row>
    <row r="13">
      <c r="A13" s="44">
        <f>EXIT_MID</f>
        <v/>
      </c>
      <c r="B13" s="43">
        <f>(A13*$B$8+$B$9)/FX</f>
        <v/>
      </c>
      <c r="C13" s="43">
        <f>B13*STAKE</f>
        <v/>
      </c>
      <c r="D13" s="44">
        <f>C13/RAISE_USD</f>
        <v/>
      </c>
      <c r="E13" s="43">
        <f>(A13*$B$8+$B$9)/FX_WEAK</f>
        <v/>
      </c>
    </row>
    <row r="14">
      <c r="A14" s="44">
        <f>EXIT_HI</f>
        <v/>
      </c>
      <c r="B14" s="43">
        <f>(A14*$B$8+$B$9)/FX</f>
        <v/>
      </c>
      <c r="C14" s="43">
        <f>B14*STAKE</f>
        <v/>
      </c>
      <c r="D14" s="44">
        <f>C14/RAISE_USD</f>
        <v/>
      </c>
      <c r="E14" s="43">
        <f>(A14*$B$8+$B$9)/FX_WEAK</f>
        <v/>
      </c>
    </row>
    <row r="15">
      <c r="A15" s="2" t="n"/>
      <c r="B15" s="2" t="n"/>
      <c r="C15" s="2" t="n"/>
      <c r="D15" s="2" t="n"/>
      <c r="E15" s="2" t="n"/>
    </row>
    <row r="16">
      <c r="A16" s="3" t="inlineStr">
        <is>
          <t>Before any later dilution. Software valued at the care multiple, not a software multiple.</t>
        </is>
      </c>
      <c r="B16" s="2" t="n"/>
      <c r="C16" s="2" t="n"/>
      <c r="D16" s="2" t="n"/>
      <c r="E16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Ilé: stress cases</t>
        </is>
      </c>
      <c r="B1" s="2" t="n"/>
      <c r="C1" s="2" t="n"/>
      <c r="D1" s="2" t="n"/>
    </row>
    <row r="2">
      <c r="A2" s="3" t="inlineStr">
        <is>
          <t>Recorded from the model. The first four rows can be reproduced with the yellow levers on Assumptions; the live result is below.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2" t="inlineStr">
        <is>
          <t>Case</t>
        </is>
      </c>
      <c r="B4" s="12" t="inlineStr">
        <is>
          <t>Peak funding (₦)</t>
        </is>
      </c>
      <c r="C4" s="12" t="inlineStr">
        <is>
          <t>Low point</t>
        </is>
      </c>
      <c r="D4" s="12" t="inlineStr">
        <is>
          <t>Year-5 EBITDA (₦)</t>
        </is>
      </c>
    </row>
    <row r="5">
      <c r="A5" s="2" t="inlineStr">
        <is>
          <t>Base case</t>
        </is>
      </c>
      <c r="B5" s="15" t="n">
        <v>676971268</v>
      </c>
      <c r="C5" s="10" t="inlineStr">
        <is>
          <t>Dec 2027</t>
        </is>
      </c>
      <c r="D5" s="15" t="n">
        <v>993282775</v>
      </c>
    </row>
    <row r="6">
      <c r="A6" s="2" t="inlineStr">
        <is>
          <t>Residence fills at half speed</t>
        </is>
      </c>
      <c r="B6" s="15" t="n">
        <v>698790805</v>
      </c>
      <c r="C6" s="10" t="inlineStr">
        <is>
          <t>Jul 2028</t>
        </is>
      </c>
      <c r="D6" s="15" t="n">
        <v>946579275</v>
      </c>
    </row>
    <row r="7">
      <c r="A7" s="2" t="inlineStr">
        <is>
          <t>Mortuary fills at half speed</t>
        </is>
      </c>
      <c r="B7" s="15" t="n">
        <v>713795699</v>
      </c>
      <c r="C7" s="10" t="inlineStr">
        <is>
          <t>Jul 2028</t>
        </is>
      </c>
      <c r="D7" s="15" t="n">
        <v>809361038</v>
      </c>
    </row>
    <row r="8">
      <c r="A8" s="2" t="inlineStr">
        <is>
          <t>Residence one opens six months late</t>
        </is>
      </c>
      <c r="B8" s="15" t="n">
        <v>606580713</v>
      </c>
      <c r="C8" s="10" t="inlineStr">
        <is>
          <t>Jun 2028</t>
        </is>
      </c>
      <c r="D8" s="15" t="n">
        <v>924309775</v>
      </c>
    </row>
    <row r="9">
      <c r="A9" s="2" t="inlineStr">
        <is>
          <t>Care at home reaches half the clients by month 18</t>
        </is>
      </c>
      <c r="B9" s="15" t="n">
        <v>734222305</v>
      </c>
      <c r="C9" s="10" t="inlineStr">
        <is>
          <t>Jul 2028</t>
        </is>
      </c>
      <c r="D9" s="15" t="n">
        <v>985362775</v>
      </c>
    </row>
    <row r="10">
      <c r="A10" s="2" t="inlineStr">
        <is>
          <t>Concierge membership at half the target</t>
        </is>
      </c>
      <c r="B10" s="15" t="n">
        <v>717351305</v>
      </c>
      <c r="C10" s="10" t="inlineStr">
        <is>
          <t>Jul 2028</t>
        </is>
      </c>
      <c r="D10" s="15" t="n">
        <v>885220275</v>
      </c>
    </row>
    <row r="11">
      <c r="A11" s="2" t="inlineStr">
        <is>
          <t>No software licences sold</t>
        </is>
      </c>
      <c r="B11" s="15" t="n">
        <v>680837174</v>
      </c>
      <c r="C11" s="10" t="inlineStr">
        <is>
          <t>Jul 2028</t>
        </is>
      </c>
      <c r="D11" s="15" t="n">
        <v>921314025</v>
      </c>
    </row>
    <row r="12">
      <c r="A12" s="2" t="inlineStr">
        <is>
          <t>Residence and mortuary both at half speed</t>
        </is>
      </c>
      <c r="B12" s="15" t="n">
        <v>738460199</v>
      </c>
      <c r="C12" s="10" t="inlineStr">
        <is>
          <t>Jul 2028</t>
        </is>
      </c>
      <c r="D12" s="15" t="n">
        <v>682879038</v>
      </c>
    </row>
    <row r="13">
      <c r="A13" s="2" t="n"/>
      <c r="B13" s="2" t="n"/>
      <c r="C13" s="2" t="n"/>
      <c r="D13" s="2" t="n"/>
    </row>
    <row r="14">
      <c r="A14" s="3" t="inlineStr">
        <is>
          <t>Levers: Residence fill speed 0.5; Mortuary fill speed 0.5; Residence delay 6; Software licences sold 0.</t>
        </is>
      </c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4" t="inlineStr">
        <is>
          <t>Live, at the current levers</t>
        </is>
      </c>
      <c r="B16" s="2" t="n"/>
      <c r="C16" s="2" t="n"/>
      <c r="D16" s="2" t="n"/>
    </row>
    <row r="17">
      <c r="A17" s="2" t="inlineStr">
        <is>
          <t>Peak funding need</t>
        </is>
      </c>
      <c r="B17" s="41">
        <f>PEAK</f>
        <v/>
      </c>
      <c r="C17" s="2" t="n"/>
      <c r="D17" s="2" t="n"/>
    </row>
    <row r="18">
      <c r="A18" s="2" t="inlineStr">
        <is>
          <t>Raise in naira</t>
        </is>
      </c>
      <c r="B18" s="41">
        <f>RAISE_NGN</f>
        <v/>
      </c>
      <c r="C18" s="2" t="n"/>
      <c r="D18" s="2" t="n"/>
    </row>
    <row r="19">
      <c r="A19" s="2" t="inlineStr">
        <is>
          <t>Headroom</t>
        </is>
      </c>
      <c r="B19" s="41">
        <f>RAISE_NGN-PEAK</f>
        <v/>
      </c>
      <c r="C19" s="2" t="n"/>
      <c r="D19" s="2" t="n"/>
    </row>
    <row r="20">
      <c r="A20" s="2" t="inlineStr">
        <is>
          <t>Year-five EBITDA</t>
        </is>
      </c>
      <c r="B20" s="41">
        <f>Y5_EBITDA</f>
        <v/>
      </c>
      <c r="C20" s="2" t="n"/>
      <c r="D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2026-10-09T14:48:34Z</dcterms:created>
  <dcterms:modified xmlns:dcterms="http://purl.org/dc/terms/" xmlns:xsi="http://www.w3.org/2001/XMLSchema-instance" xsi:type="dcterms:W3CDTF">2026-10-09T14:48:35Z</dcterms:modified>
</cp:coreProperties>
</file>