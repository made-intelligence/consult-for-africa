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 Minimums" sheetId="2" state="visible" r:id="rId2"/>
    <sheet xmlns:r="http://schemas.openxmlformats.org/officeDocument/2006/relationships" name="B Scored" sheetId="3" state="visible" r:id="rId3"/>
    <sheet xmlns:r="http://schemas.openxmlformats.org/officeDocument/2006/relationships" name="C Tier item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4">
    <fill>
      <patternFill/>
    </fill>
    <fill>
      <patternFill patternType="gray125"/>
    </fill>
    <fill>
      <patternFill patternType="solid">
        <fgColor rgb="000A7B6E"/>
      </patternFill>
    </fill>
    <fill>
      <patternFill patternType="solid">
        <fgColor rgb="00FFF4CC"/>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0" fillId="3" borderId="0" pivotButton="0" quotePrefix="0" xfId="0"/>
    <xf numFmtId="9"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8" customWidth="1" min="1" max="1"/>
    <col width="18" customWidth="1" min="2" max="2"/>
    <col width="14" customWidth="1" min="3" max="3"/>
  </cols>
  <sheetData>
    <row r="1">
      <c r="A1" s="1" t="inlineStr">
        <is>
          <t>Facility</t>
        </is>
      </c>
      <c r="B1" s="2" t="n"/>
    </row>
    <row r="2">
      <c r="A2" s="1" t="inlineStr">
        <is>
          <t>Address</t>
        </is>
      </c>
      <c r="B2" s="2" t="n"/>
    </row>
    <row r="3">
      <c r="A3" s="1" t="inlineStr">
        <is>
          <t>Assessor</t>
        </is>
      </c>
      <c r="B3" s="2" t="n"/>
    </row>
    <row r="4">
      <c r="A4" s="1" t="inlineStr">
        <is>
          <t>Date of visit</t>
        </is>
      </c>
      <c r="B4" s="2" t="n"/>
    </row>
    <row r="5">
      <c r="A5" s="1" t="inlineStr">
        <is>
          <t>Assessor has an interest in the facility?</t>
        </is>
      </c>
      <c r="B5" s="2" t="n"/>
    </row>
    <row r="7">
      <c r="A7" s="1" t="inlineStr">
        <is>
          <t>PART A: MINIMUMS</t>
        </is>
      </c>
    </row>
    <row r="8">
      <c r="A8" t="inlineStr">
        <is>
          <t>Met</t>
        </is>
      </c>
      <c r="B8">
        <f>COUNTIF('A Minimums'!C2:C19,"Yes")</f>
        <v/>
      </c>
    </row>
    <row r="9">
      <c r="A9" t="inlineStr">
        <is>
          <t>Not met or not yet checked</t>
        </is>
      </c>
      <c r="B9">
        <f>18-B8</f>
        <v/>
      </c>
    </row>
    <row r="10">
      <c r="A10" s="1" t="inlineStr">
        <is>
          <t>Joins the network?</t>
        </is>
      </c>
      <c r="B10">
        <f>IF(B8=18,"Yes","No")</f>
        <v/>
      </c>
    </row>
    <row r="12">
      <c r="A12" s="1" t="inlineStr">
        <is>
          <t>PART B: DOMAIN SCORES</t>
        </is>
      </c>
      <c r="B12" s="1" t="inlineStr">
        <is>
          <t>Score</t>
        </is>
      </c>
      <c r="C12" s="1" t="inlineStr">
        <is>
          <t>Per cent</t>
        </is>
      </c>
    </row>
    <row r="13">
      <c r="A13" t="inlineStr">
        <is>
          <t>B1 Leadership and governance</t>
        </is>
      </c>
      <c r="B13">
        <f>SUM('B Scored'!C2:C6)&amp;" / 10"</f>
        <v/>
      </c>
      <c r="C13" s="3">
        <f>SUM('B Scored'!C2:C6)/10</f>
        <v/>
      </c>
    </row>
    <row r="14">
      <c r="A14" t="inlineStr">
        <is>
          <t>B2 Theatre and equipment</t>
        </is>
      </c>
      <c r="B14">
        <f>SUM('B Scored'!C7:C12)&amp;" / 12"</f>
        <v/>
      </c>
      <c r="C14" s="3">
        <f>SUM('B Scored'!C7:C12)/12</f>
        <v/>
      </c>
    </row>
    <row r="15">
      <c r="A15" t="inlineStr">
        <is>
          <t>B3 Anaesthesia</t>
        </is>
      </c>
      <c r="B15">
        <f>SUM('B Scored'!C13:C18)&amp;" / 12"</f>
        <v/>
      </c>
      <c r="C15" s="3">
        <f>SUM('B Scored'!C13:C18)/12</f>
        <v/>
      </c>
    </row>
    <row r="16">
      <c r="A16" t="inlineStr">
        <is>
          <t>B4 Infection prevention</t>
        </is>
      </c>
      <c r="B16">
        <f>SUM('B Scored'!C19:C23)&amp;" / 10"</f>
        <v/>
      </c>
      <c r="C16" s="3">
        <f>SUM('B Scored'!C19:C23)/10</f>
        <v/>
      </c>
    </row>
    <row r="17">
      <c r="A17" t="inlineStr">
        <is>
          <t>B5 Recovery, ward and escalation</t>
        </is>
      </c>
      <c r="B17">
        <f>SUM('B Scored'!C24:C29)&amp;" / 12"</f>
        <v/>
      </c>
      <c r="C17" s="3">
        <f>SUM('B Scored'!C24:C29)/12</f>
        <v/>
      </c>
    </row>
    <row r="18">
      <c r="A18" t="inlineStr">
        <is>
          <t>B6 Patient safety and records</t>
        </is>
      </c>
      <c r="B18">
        <f>SUM('B Scored'!C30:C34)&amp;" / 10"</f>
        <v/>
      </c>
      <c r="C18" s="3">
        <f>SUM('B Scored'!C30:C34)/10</f>
        <v/>
      </c>
    </row>
    <row r="19">
      <c r="A19" t="inlineStr">
        <is>
          <t>B7 Staffing and credentialing</t>
        </is>
      </c>
      <c r="B19">
        <f>SUM('B Scored'!C35:C38)&amp;" / 8"</f>
        <v/>
      </c>
      <c r="C19" s="3">
        <f>SUM('B Scored'!C35:C38)/8</f>
        <v/>
      </c>
    </row>
    <row r="20">
      <c r="A20" t="inlineStr">
        <is>
          <t>B8 Support services</t>
        </is>
      </c>
      <c r="B20">
        <f>SUM('B Scored'!C39:C43)&amp;" / 10"</f>
        <v/>
      </c>
      <c r="C20" s="3">
        <f>SUM('B Scored'!C39:C43)/10</f>
        <v/>
      </c>
    </row>
    <row r="21">
      <c r="A21" t="inlineStr">
        <is>
          <t>B9 Patient experience and outcomes</t>
        </is>
      </c>
      <c r="B21">
        <f>SUM('B Scored'!C44:C47)&amp;" / 8"</f>
        <v/>
      </c>
      <c r="C21" s="3">
        <f>SUM('B Scored'!C44:C47)/8</f>
        <v/>
      </c>
    </row>
    <row r="22">
      <c r="A22" s="1" t="inlineStr">
        <is>
          <t>Overall</t>
        </is>
      </c>
      <c r="B22">
        <f>SUM('B Scored'!C2:C47)&amp;" / 92"</f>
        <v/>
      </c>
      <c r="C22" s="3">
        <f>SUM('B Scored'!C2:C47)/92</f>
        <v/>
      </c>
    </row>
    <row r="23">
      <c r="A23" t="inlineStr">
        <is>
          <t>Lowest domain</t>
        </is>
      </c>
      <c r="C23" s="3">
        <f>MIN(C13:C21)</f>
        <v/>
      </c>
    </row>
    <row r="24">
      <c r="A24" t="inlineStr">
        <is>
          <t>Items not yet scored</t>
        </is>
      </c>
      <c r="B24">
        <f>COUNTBLANK('B Scored'!C2:C47)</f>
        <v/>
      </c>
    </row>
    <row r="26">
      <c r="A26" s="4" t="inlineStr">
        <is>
          <t>SURGICAL TIER</t>
        </is>
      </c>
      <c r="B26" s="4">
        <f>IF(B10&lt;&gt;"Yes","None: a minimum is not met",IF(B24&gt;0,"Incomplete: score every item",IF(AND(C22&gt;=0.8,C23&gt;=0.7,COUNTIFS('C Tier items'!B2:B8,2,'C Tier items'!D2:D8,"Yes")=2,COUNTIFS('C Tier items'!B2:B8,3,'C Tier items'!D2:D8,"Yes")=5),"Tier 3: Major and implant",IF(AND(C22&gt;=0.7,C23&gt;=0.6,COUNTIFS('C Tier items'!B2:B8,2,'C Tier items'!D2:D8,"Yes")=2),"Tier 2: Inpatient",IF(AND(C22&gt;=0.6,C23&gt;=0.5),"Tier 1: Day case","Not approved for surgery")))))</f>
        <v/>
      </c>
    </row>
    <row r="27">
      <c r="A27" t="inlineStr">
        <is>
          <t>May host consultations</t>
        </is>
      </c>
      <c r="B27">
        <f>IF(B10="Yes","Yes","No")</f>
        <v/>
      </c>
    </row>
    <row r="29" ht="45" customHeight="1">
      <c r="A29" s="5" t="inlineStr">
        <is>
          <t>Fill the yellow cells on each sheet. Score 0 not in place, 1 in place but not consistent or not documented, 2 documented and consistently followed.</t>
        </is>
      </c>
    </row>
  </sheetData>
  <mergeCells count="1">
    <mergeCell ref="A29:C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9" customWidth="1" min="3" max="3"/>
    <col width="40" customWidth="1" min="4" max="4"/>
    <col width="40" customWidth="1" min="5" max="5"/>
  </cols>
  <sheetData>
    <row r="1">
      <c r="A1" s="6" t="inlineStr">
        <is>
          <t>Ref</t>
        </is>
      </c>
      <c r="B1" s="6" t="inlineStr">
        <is>
          <t>Minimum requirement</t>
        </is>
      </c>
      <c r="C1" s="6" t="inlineStr">
        <is>
          <t>Met?</t>
        </is>
      </c>
      <c r="D1" s="6" t="inlineStr">
        <is>
          <t>Evidence seen</t>
        </is>
      </c>
      <c r="E1" s="6" t="inlineStr">
        <is>
          <t>Note</t>
        </is>
      </c>
    </row>
    <row r="2">
      <c r="A2" t="inlineStr">
        <is>
          <t>A1</t>
        </is>
      </c>
      <c r="B2" s="5" t="inlineStr">
        <is>
          <t>State registration for private health establishments, for the services provided</t>
        </is>
      </c>
      <c r="C2" s="7" t="n"/>
      <c r="D2" s="7" t="n"/>
      <c r="E2" s="7" t="n"/>
    </row>
    <row r="3">
      <c r="A3" t="inlineStr">
        <is>
          <t>A2</t>
        </is>
      </c>
      <c r="B3" s="5" t="inlineStr">
        <is>
          <t>Medical director of record with full, current MDCN registration and licence</t>
        </is>
      </c>
      <c r="C3" s="7" t="n"/>
      <c r="D3" s="7" t="n"/>
      <c r="E3" s="7" t="n"/>
    </row>
    <row r="4">
      <c r="A4" t="inlineStr">
        <is>
          <t>A3</t>
        </is>
      </c>
      <c r="B4" s="5" t="inlineStr">
        <is>
          <t>Pharmacy (PCN) and laboratory (MLSCN) registered, or written arrangement with registered providers</t>
        </is>
      </c>
      <c r="C4" s="7" t="n"/>
      <c r="D4" s="7" t="n"/>
      <c r="E4" s="7" t="n"/>
    </row>
    <row r="5">
      <c r="A5" t="inlineStr">
        <is>
          <t>A4</t>
        </is>
      </c>
      <c r="B5" s="5" t="inlineStr">
        <is>
          <t>NNRA licence where X-ray or C-arm is used</t>
        </is>
      </c>
      <c r="C5" s="7" t="n"/>
      <c r="D5" s="7" t="n"/>
      <c r="E5" s="7" t="n"/>
    </row>
    <row r="6">
      <c r="A6" t="inlineStr">
        <is>
          <t>A5</t>
        </is>
      </c>
      <c r="B6" s="5" t="inlineStr">
        <is>
          <t>Public liability insurance; every clinician holds indemnity cover</t>
        </is>
      </c>
      <c r="C6" s="7" t="n"/>
      <c r="D6" s="7" t="n"/>
      <c r="E6" s="7" t="n"/>
    </row>
    <row r="7">
      <c r="A7" t="inlineStr">
        <is>
          <t>A6</t>
        </is>
      </c>
      <c r="B7" s="5" t="inlineStr">
        <is>
          <t>WHO Surgical Safety Checklist used for every operation and retained</t>
        </is>
      </c>
      <c r="C7" s="7" t="n"/>
      <c r="D7" s="7" t="n"/>
      <c r="E7" s="7" t="n"/>
    </row>
    <row r="8">
      <c r="A8" t="inlineStr">
        <is>
          <t>A7</t>
        </is>
      </c>
      <c r="B8" s="5" t="inlineStr">
        <is>
          <t>Pulse oximetry, BP and ECG for every anaesthetic or sedation; capnography with any airway device</t>
        </is>
      </c>
      <c r="C8" s="7" t="n"/>
      <c r="D8" s="7" t="n"/>
      <c r="E8" s="7" t="n"/>
    </row>
    <row r="9">
      <c r="A9" t="inlineStr">
        <is>
          <t>A8</t>
        </is>
      </c>
      <c r="B9" s="5" t="inlineStr">
        <is>
          <t>Trained anaesthesia provider present throughout every GA or regional</t>
        </is>
      </c>
      <c r="C9" s="7" t="n"/>
      <c r="D9" s="7" t="n"/>
      <c r="E9" s="7" t="n"/>
    </row>
    <row r="10">
      <c r="A10" t="inlineStr">
        <is>
          <t>A9</t>
        </is>
      </c>
      <c r="B10" s="5" t="inlineStr">
        <is>
          <t>Resuscitation trolley with defibrillator, checked daily, at every theatre and recovery area</t>
        </is>
      </c>
      <c r="C10" s="7" t="n"/>
      <c r="D10" s="7" t="n"/>
      <c r="E10" s="7" t="n"/>
    </row>
    <row r="11">
      <c r="A11" t="inlineStr">
        <is>
          <t>A10</t>
        </is>
      </c>
      <c r="B11" s="5" t="inlineStr">
        <is>
          <t>Oxygen with documented reserve, and suction, at every theatre and recovery bed</t>
        </is>
      </c>
      <c r="C11" s="7" t="n"/>
      <c r="D11" s="7" t="n"/>
      <c r="E11" s="7" t="n"/>
    </row>
    <row r="12">
      <c r="A12" t="inlineStr">
        <is>
          <t>A11</t>
        </is>
      </c>
      <c r="B12" s="5" t="inlineStr">
        <is>
          <t>Generator with automatic changeover plus battery backup for theatre monitors and lights</t>
        </is>
      </c>
      <c r="C12" s="7" t="n"/>
      <c r="D12" s="7" t="n"/>
      <c r="E12" s="7" t="n"/>
    </row>
    <row r="13">
      <c r="A13" t="inlineStr">
        <is>
          <t>A12</t>
        </is>
      </c>
      <c r="B13" s="5" t="inlineStr">
        <is>
          <t>Validated steam autoclave with cycle log and chemical and biological indicators</t>
        </is>
      </c>
      <c r="C13" s="7" t="n"/>
      <c r="D13" s="7" t="n"/>
      <c r="E13" s="7" t="n"/>
    </row>
    <row r="14">
      <c r="A14" t="inlineStr">
        <is>
          <t>A13</t>
        </is>
      </c>
      <c r="B14" s="5" t="inlineStr">
        <is>
          <t>Clinical waste segregated and collected by a licensed contractor</t>
        </is>
      </c>
      <c r="C14" s="7" t="n"/>
      <c r="D14" s="7" t="n"/>
      <c r="E14" s="7" t="n"/>
    </row>
    <row r="15">
      <c r="A15" t="inlineStr">
        <is>
          <t>A14</t>
        </is>
      </c>
      <c r="B15" s="5" t="inlineStr">
        <is>
          <t>Written deteriorating-patient plan and ICU on site or written transfer agreement</t>
        </is>
      </c>
      <c r="C15" s="7" t="n"/>
      <c r="D15" s="7" t="n"/>
      <c r="E15" s="7" t="n"/>
    </row>
    <row r="16">
      <c r="A16" t="inlineStr">
        <is>
          <t>A15</t>
        </is>
      </c>
      <c r="B16" s="5" t="inlineStr">
        <is>
          <t>Screened, cross-matched blood on site or from a named blood bank in agreed time</t>
        </is>
      </c>
      <c r="C16" s="7" t="n"/>
      <c r="D16" s="7" t="n"/>
      <c r="E16" s="7" t="n"/>
    </row>
    <row r="17">
      <c r="A17" t="inlineStr">
        <is>
          <t>A16</t>
        </is>
      </c>
      <c r="B17" s="5" t="inlineStr">
        <is>
          <t>Clinical record with operative and anaesthetic notes; consent records risks discussed</t>
        </is>
      </c>
      <c r="C17" s="7" t="n"/>
      <c r="D17" s="7" t="n"/>
      <c r="E17" s="7" t="n"/>
    </row>
    <row r="18">
      <c r="A18" t="inlineStr">
        <is>
          <t>A17</t>
        </is>
      </c>
      <c r="B18" s="5" t="inlineStr">
        <is>
          <t>Named person responsible for patient data; NDPA 2023 compliant processing</t>
        </is>
      </c>
      <c r="C18" s="7" t="n"/>
      <c r="D18" s="7" t="n"/>
      <c r="E18" s="7" t="n"/>
    </row>
    <row r="19">
      <c r="A19" t="inlineStr">
        <is>
          <t>A18</t>
        </is>
      </c>
      <c r="B19" s="5" t="inlineStr">
        <is>
          <t>Current fire safety certificate, exits and fire equipment signed off</t>
        </is>
      </c>
      <c r="C19" s="7" t="n"/>
      <c r="D19" s="7" t="n"/>
      <c r="E19" s="7" t="n"/>
    </row>
  </sheetData>
  <conditionalFormatting sqref="C2:C19">
    <cfRule type="cellIs" priority="1" operator="equal" dxfId="0">
      <formula>"No"</formula>
    </cfRule>
  </conditionalFormatting>
  <dataValidations count="1">
    <dataValidation sqref="C2 C3 C4 C5 C6 C7 C8 C9 C10 C11 C12 C13 C14 C15 C16 C17 C18 C1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10" customWidth="1" min="3" max="3"/>
    <col width="40" customWidth="1" min="4" max="4"/>
    <col width="40" customWidth="1" min="5" max="5"/>
  </cols>
  <sheetData>
    <row r="1">
      <c r="A1" s="6" t="inlineStr">
        <is>
          <t>Domain</t>
        </is>
      </c>
      <c r="B1" s="6" t="inlineStr">
        <is>
          <t>Item</t>
        </is>
      </c>
      <c r="C1" s="6" t="inlineStr">
        <is>
          <t>Score 0-2</t>
        </is>
      </c>
      <c r="D1" s="6" t="inlineStr">
        <is>
          <t>Evidence seen</t>
        </is>
      </c>
      <c r="E1" s="6" t="inlineStr">
        <is>
          <t>Note</t>
        </is>
      </c>
    </row>
    <row r="2">
      <c r="A2" t="inlineStr">
        <is>
          <t>B1 Leadership and governance</t>
        </is>
      </c>
      <c r="B2" s="5" t="inlineStr">
        <is>
          <t>Clinical governance meeting held and minuted</t>
        </is>
      </c>
      <c r="C2" s="7" t="n"/>
      <c r="D2" s="7" t="n"/>
      <c r="E2" s="7" t="n"/>
    </row>
    <row r="3">
      <c r="A3" t="inlineStr">
        <is>
          <t>B1 Leadership and governance</t>
        </is>
      </c>
      <c r="B3" s="5" t="inlineStr">
        <is>
          <t>Incident reporting system in use</t>
        </is>
      </c>
      <c r="C3" s="7" t="n"/>
      <c r="D3" s="7" t="n"/>
      <c r="E3" s="7" t="n"/>
    </row>
    <row r="4">
      <c r="A4" t="inlineStr">
        <is>
          <t>B1 Leadership and governance</t>
        </is>
      </c>
      <c r="B4" s="5" t="inlineStr">
        <is>
          <t>Incidents reviewed, with actions followed up</t>
        </is>
      </c>
      <c r="C4" s="7" t="n"/>
      <c r="D4" s="7" t="n"/>
      <c r="E4" s="7" t="n"/>
    </row>
    <row r="5">
      <c r="A5" t="inlineStr">
        <is>
          <t>B1 Leadership and governance</t>
        </is>
      </c>
      <c r="B5" s="5" t="inlineStr">
        <is>
          <t>Complaints logged and answered</t>
        </is>
      </c>
      <c r="C5" s="7" t="n"/>
      <c r="D5" s="7" t="n"/>
      <c r="E5" s="7" t="n"/>
    </row>
    <row r="6">
      <c r="A6" t="inlineStr">
        <is>
          <t>B1 Leadership and governance</t>
        </is>
      </c>
      <c r="B6" s="5" t="inlineStr">
        <is>
          <t>Policies in date</t>
        </is>
      </c>
      <c r="C6" s="7" t="n"/>
      <c r="D6" s="7" t="n"/>
      <c r="E6" s="7" t="n"/>
    </row>
    <row r="7">
      <c r="A7" t="inlineStr">
        <is>
          <t>B2 Theatre and equipment</t>
        </is>
      </c>
      <c r="B7" s="5" t="inlineStr">
        <is>
          <t>Theatre condition and air handling</t>
        </is>
      </c>
      <c r="C7" s="7" t="n"/>
      <c r="D7" s="7" t="n"/>
      <c r="E7" s="7" t="n"/>
    </row>
    <row r="8">
      <c r="A8" t="inlineStr">
        <is>
          <t>B2 Theatre and equipment</t>
        </is>
      </c>
      <c r="B8" s="5" t="inlineStr">
        <is>
          <t>Operating table</t>
        </is>
      </c>
      <c r="C8" s="7" t="n"/>
      <c r="D8" s="7" t="n"/>
      <c r="E8" s="7" t="n"/>
    </row>
    <row r="9">
      <c r="A9" t="inlineStr">
        <is>
          <t>B2 Theatre and equipment</t>
        </is>
      </c>
      <c r="B9" s="5" t="inlineStr">
        <is>
          <t>Theatre lights</t>
        </is>
      </c>
      <c r="C9" s="7" t="n"/>
      <c r="D9" s="7" t="n"/>
      <c r="E9" s="7" t="n"/>
    </row>
    <row r="10">
      <c r="A10" t="inlineStr">
        <is>
          <t>B2 Theatre and equipment</t>
        </is>
      </c>
      <c r="B10" s="5" t="inlineStr">
        <is>
          <t>Diathermy</t>
        </is>
      </c>
      <c r="C10" s="7" t="n"/>
      <c r="D10" s="7" t="n"/>
      <c r="E10" s="7" t="n"/>
    </row>
    <row r="11">
      <c r="A11" t="inlineStr">
        <is>
          <t>B2 Theatre and equipment</t>
        </is>
      </c>
      <c r="B11" s="5" t="inlineStr">
        <is>
          <t>Equipment maintenance and calibration records</t>
        </is>
      </c>
      <c r="C11" s="7" t="n"/>
      <c r="D11" s="7" t="n"/>
      <c r="E11" s="7" t="n"/>
    </row>
    <row r="12">
      <c r="A12" t="inlineStr">
        <is>
          <t>B2 Theatre and equipment</t>
        </is>
      </c>
      <c r="B12" s="5" t="inlineStr">
        <is>
          <t>Instrument sets complete for the procedures sought</t>
        </is>
      </c>
      <c r="C12" s="7" t="n"/>
      <c r="D12" s="7" t="n"/>
      <c r="E12" s="7" t="n"/>
    </row>
    <row r="13">
      <c r="A13" t="inlineStr">
        <is>
          <t>B3 Anaesthesia</t>
        </is>
      </c>
      <c r="B13" s="5" t="inlineStr">
        <is>
          <t>Anaesthetic machine checked before each list</t>
        </is>
      </c>
      <c r="C13" s="7" t="n"/>
      <c r="D13" s="7" t="n"/>
      <c r="E13" s="7" t="n"/>
    </row>
    <row r="14">
      <c r="A14" t="inlineStr">
        <is>
          <t>B3 Anaesthesia</t>
        </is>
      </c>
      <c r="B14" s="5" t="inlineStr">
        <is>
          <t>Anaesthetic drugs stocked and in date</t>
        </is>
      </c>
      <c r="C14" s="7" t="n"/>
      <c r="D14" s="7" t="n"/>
      <c r="E14" s="7" t="n"/>
    </row>
    <row r="15">
      <c r="A15" t="inlineStr">
        <is>
          <t>B3 Anaesthesia</t>
        </is>
      </c>
      <c r="B15" s="5" t="inlineStr">
        <is>
          <t>Controlled drug register kept</t>
        </is>
      </c>
      <c r="C15" s="7" t="n"/>
      <c r="D15" s="7" t="n"/>
      <c r="E15" s="7" t="n"/>
    </row>
    <row r="16">
      <c r="A16" t="inlineStr">
        <is>
          <t>B3 Anaesthesia</t>
        </is>
      </c>
      <c r="B16" s="5" t="inlineStr">
        <is>
          <t>Difficult airway kit</t>
        </is>
      </c>
      <c r="C16" s="7" t="n"/>
      <c r="D16" s="7" t="n"/>
      <c r="E16" s="7" t="n"/>
    </row>
    <row r="17">
      <c r="A17" t="inlineStr">
        <is>
          <t>B3 Anaesthesia</t>
        </is>
      </c>
      <c r="B17" s="5" t="inlineStr">
        <is>
          <t>Pre-anaesthetic assessment documented</t>
        </is>
      </c>
      <c r="C17" s="7" t="n"/>
      <c r="D17" s="7" t="n"/>
      <c r="E17" s="7" t="n"/>
    </row>
    <row r="18">
      <c r="A18" t="inlineStr">
        <is>
          <t>B3 Anaesthesia</t>
        </is>
      </c>
      <c r="B18" s="5" t="inlineStr">
        <is>
          <t>Post-anaesthetic recovery discharge criteria</t>
        </is>
      </c>
      <c r="C18" s="7" t="n"/>
      <c r="D18" s="7" t="n"/>
      <c r="E18" s="7" t="n"/>
    </row>
    <row r="19">
      <c r="A19" t="inlineStr">
        <is>
          <t>B4 Infection prevention</t>
        </is>
      </c>
      <c r="B19" s="5" t="inlineStr">
        <is>
          <t>Hand hygiene audit</t>
        </is>
      </c>
      <c r="C19" s="7" t="n"/>
      <c r="D19" s="7" t="n"/>
      <c r="E19" s="7" t="n"/>
    </row>
    <row r="20">
      <c r="A20" t="inlineStr">
        <is>
          <t>B4 Infection prevention</t>
        </is>
      </c>
      <c r="B20" s="5" t="inlineStr">
        <is>
          <t>Theatre cleaning schedule followed</t>
        </is>
      </c>
      <c r="C20" s="7" t="n"/>
      <c r="D20" s="7" t="n"/>
      <c r="E20" s="7" t="n"/>
    </row>
    <row r="21">
      <c r="A21" t="inlineStr">
        <is>
          <t>B4 Infection prevention</t>
        </is>
      </c>
      <c r="B21" s="5" t="inlineStr">
        <is>
          <t>Sterile store</t>
        </is>
      </c>
      <c r="C21" s="7" t="n"/>
      <c r="D21" s="7" t="n"/>
      <c r="E21" s="7" t="n"/>
    </row>
    <row r="22">
      <c r="A22" t="inlineStr">
        <is>
          <t>B4 Infection prevention</t>
        </is>
      </c>
      <c r="B22" s="5" t="inlineStr">
        <is>
          <t>Surgical site infection surveillance</t>
        </is>
      </c>
      <c r="C22" s="7" t="n"/>
      <c r="D22" s="7" t="n"/>
      <c r="E22" s="7" t="n"/>
    </row>
    <row r="23">
      <c r="A23" t="inlineStr">
        <is>
          <t>B4 Infection prevention</t>
        </is>
      </c>
      <c r="B23" s="5" t="inlineStr">
        <is>
          <t>Antibiotic prophylaxis policy and timing</t>
        </is>
      </c>
      <c r="C23" s="7" t="n"/>
      <c r="D23" s="7" t="n"/>
      <c r="E23" s="7" t="n"/>
    </row>
    <row r="24">
      <c r="A24" t="inlineStr">
        <is>
          <t>B5 Recovery, ward and escalation</t>
        </is>
      </c>
      <c r="B24" s="5" t="inlineStr">
        <is>
          <t>Recovery staffing</t>
        </is>
      </c>
      <c r="C24" s="7" t="n"/>
      <c r="D24" s="7" t="n"/>
      <c r="E24" s="7" t="n"/>
    </row>
    <row r="25">
      <c r="A25" t="inlineStr">
        <is>
          <t>B5 Recovery, ward and escalation</t>
        </is>
      </c>
      <c r="B25" s="5" t="inlineStr">
        <is>
          <t>Recovery monitoring</t>
        </is>
      </c>
      <c r="C25" s="7" t="n"/>
      <c r="D25" s="7" t="n"/>
      <c r="E25" s="7" t="n"/>
    </row>
    <row r="26">
      <c r="A26" t="inlineStr">
        <is>
          <t>B5 Recovery, ward and escalation</t>
        </is>
      </c>
      <c r="B26" s="5" t="inlineStr">
        <is>
          <t>Ward nurse ratios, day and night</t>
        </is>
      </c>
      <c r="C26" s="7" t="n"/>
      <c r="D26" s="7" t="n"/>
      <c r="E26" s="7" t="n"/>
    </row>
    <row r="27">
      <c r="A27" t="inlineStr">
        <is>
          <t>B5 Recovery, ward and escalation</t>
        </is>
      </c>
      <c r="B27" s="5" t="inlineStr">
        <is>
          <t>Early warning scores in use</t>
        </is>
      </c>
      <c r="C27" s="7" t="n"/>
      <c r="D27" s="7" t="n"/>
      <c r="E27" s="7" t="n"/>
    </row>
    <row r="28">
      <c r="A28" t="inlineStr">
        <is>
          <t>B5 Recovery, ward and escalation</t>
        </is>
      </c>
      <c r="B28" s="5" t="inlineStr">
        <is>
          <t>High dependency capacity</t>
        </is>
      </c>
      <c r="C28" s="7" t="n"/>
      <c r="D28" s="7" t="n"/>
      <c r="E28" s="7" t="n"/>
    </row>
    <row r="29">
      <c r="A29" t="inlineStr">
        <is>
          <t>B5 Recovery, ward and escalation</t>
        </is>
      </c>
      <c r="B29" s="5" t="inlineStr">
        <is>
          <t>Transfer drills or tested transfer route</t>
        </is>
      </c>
      <c r="C29" s="7" t="n"/>
      <c r="D29" s="7" t="n"/>
      <c r="E29" s="7" t="n"/>
    </row>
    <row r="30">
      <c r="A30" t="inlineStr">
        <is>
          <t>B6 Patient safety and records</t>
        </is>
      </c>
      <c r="B30" s="5" t="inlineStr">
        <is>
          <t>Consent quality</t>
        </is>
      </c>
      <c r="C30" s="7" t="n"/>
      <c r="D30" s="7" t="n"/>
      <c r="E30" s="7" t="n"/>
    </row>
    <row r="31">
      <c r="A31" t="inlineStr">
        <is>
          <t>B6 Patient safety and records</t>
        </is>
      </c>
      <c r="B31" s="5" t="inlineStr">
        <is>
          <t>Checklist completion in the traced cases</t>
        </is>
      </c>
      <c r="C31" s="7" t="n"/>
      <c r="D31" s="7" t="n"/>
      <c r="E31" s="7" t="n"/>
    </row>
    <row r="32">
      <c r="A32" t="inlineStr">
        <is>
          <t>B6 Patient safety and records</t>
        </is>
      </c>
      <c r="B32" s="5" t="inlineStr">
        <is>
          <t>Medicines reconciliation</t>
        </is>
      </c>
      <c r="C32" s="7" t="n"/>
      <c r="D32" s="7" t="n"/>
      <c r="E32" s="7" t="n"/>
    </row>
    <row r="33">
      <c r="A33" t="inlineStr">
        <is>
          <t>B6 Patient safety and records</t>
        </is>
      </c>
      <c r="B33" s="5" t="inlineStr">
        <is>
          <t>Venous thromboembolism assessment</t>
        </is>
      </c>
      <c r="C33" s="7" t="n"/>
      <c r="D33" s="7" t="n"/>
      <c r="E33" s="7" t="n"/>
    </row>
    <row r="34">
      <c r="A34" t="inlineStr">
        <is>
          <t>B6 Patient safety and records</t>
        </is>
      </c>
      <c r="B34" s="5" t="inlineStr">
        <is>
          <t>Discharge summaries</t>
        </is>
      </c>
      <c r="C34" s="7" t="n"/>
      <c r="D34" s="7" t="n"/>
      <c r="E34" s="7" t="n"/>
    </row>
    <row r="35">
      <c r="A35" t="inlineStr">
        <is>
          <t>B7 Staffing and credentialing</t>
        </is>
      </c>
      <c r="B35" s="5" t="inlineStr">
        <is>
          <t>Rotas cover nights and weekends</t>
        </is>
      </c>
      <c r="C35" s="7" t="n"/>
      <c r="D35" s="7" t="n"/>
      <c r="E35" s="7" t="n"/>
    </row>
    <row r="36">
      <c r="A36" t="inlineStr">
        <is>
          <t>B7 Staffing and credentialing</t>
        </is>
      </c>
      <c r="B36" s="5" t="inlineStr">
        <is>
          <t>Staff licences verified</t>
        </is>
      </c>
      <c r="C36" s="7" t="n"/>
      <c r="D36" s="7" t="n"/>
      <c r="E36" s="7" t="n"/>
    </row>
    <row r="37">
      <c r="A37" t="inlineStr">
        <is>
          <t>B7 Staffing and credentialing</t>
        </is>
      </c>
      <c r="B37" s="5" t="inlineStr">
        <is>
          <t>Life support training current</t>
        </is>
      </c>
      <c r="C37" s="7" t="n"/>
      <c r="D37" s="7" t="n"/>
      <c r="E37" s="7" t="n"/>
    </row>
    <row r="38">
      <c r="A38" t="inlineStr">
        <is>
          <t>B7 Staffing and credentialing</t>
        </is>
      </c>
      <c r="B38" s="5" t="inlineStr">
        <is>
          <t>Induction for new staff</t>
        </is>
      </c>
      <c r="C38" s="7" t="n"/>
      <c r="D38" s="7" t="n"/>
      <c r="E38" s="7" t="n"/>
    </row>
    <row r="39">
      <c r="A39" t="inlineStr">
        <is>
          <t>B8 Support services</t>
        </is>
      </c>
      <c r="B39" s="5" t="inlineStr">
        <is>
          <t>Laboratory turnaround</t>
        </is>
      </c>
      <c r="C39" s="7" t="n"/>
      <c r="D39" s="7" t="n"/>
      <c r="E39" s="7" t="n"/>
    </row>
    <row r="40">
      <c r="A40" t="inlineStr">
        <is>
          <t>B8 Support services</t>
        </is>
      </c>
      <c r="B40" s="5" t="inlineStr">
        <is>
          <t>Blood availability</t>
        </is>
      </c>
      <c r="C40" s="7" t="n"/>
      <c r="D40" s="7" t="n"/>
      <c r="E40" s="7" t="n"/>
    </row>
    <row r="41">
      <c r="A41" t="inlineStr">
        <is>
          <t>B8 Support services</t>
        </is>
      </c>
      <c r="B41" s="5" t="inlineStr">
        <is>
          <t>Imaging</t>
        </is>
      </c>
      <c r="C41" s="7" t="n"/>
      <c r="D41" s="7" t="n"/>
      <c r="E41" s="7" t="n"/>
    </row>
    <row r="42">
      <c r="A42" t="inlineStr">
        <is>
          <t>B8 Support services</t>
        </is>
      </c>
      <c r="B42" s="5" t="inlineStr">
        <is>
          <t>Pharmacy stock control</t>
        </is>
      </c>
      <c r="C42" s="7" t="n"/>
      <c r="D42" s="7" t="n"/>
      <c r="E42" s="7" t="n"/>
    </row>
    <row r="43">
      <c r="A43" t="inlineStr">
        <is>
          <t>B8 Support services</t>
        </is>
      </c>
      <c r="B43" s="5" t="inlineStr">
        <is>
          <t>Water supply</t>
        </is>
      </c>
      <c r="C43" s="7" t="n"/>
      <c r="D43" s="7" t="n"/>
      <c r="E43" s="7" t="n"/>
    </row>
    <row r="44">
      <c r="A44" t="inlineStr">
        <is>
          <t>B9 Patient experience and outcomes</t>
        </is>
      </c>
      <c r="B44" s="5" t="inlineStr">
        <is>
          <t>Information given before admission</t>
        </is>
      </c>
      <c r="C44" s="7" t="n"/>
      <c r="D44" s="7" t="n"/>
      <c r="E44" s="7" t="n"/>
    </row>
    <row r="45">
      <c r="A45" t="inlineStr">
        <is>
          <t>B9 Patient experience and outcomes</t>
        </is>
      </c>
      <c r="B45" s="5" t="inlineStr">
        <is>
          <t>Pain management</t>
        </is>
      </c>
      <c r="C45" s="7" t="n"/>
      <c r="D45" s="7" t="n"/>
      <c r="E45" s="7" t="n"/>
    </row>
    <row r="46">
      <c r="A46" t="inlineStr">
        <is>
          <t>B9 Patient experience and outcomes</t>
        </is>
      </c>
      <c r="B46" s="5" t="inlineStr">
        <is>
          <t>Outcomes recorded</t>
        </is>
      </c>
      <c r="C46" s="7" t="n"/>
      <c r="D46" s="7" t="n"/>
      <c r="E46" s="7" t="n"/>
    </row>
    <row r="47">
      <c r="A47" t="inlineStr">
        <is>
          <t>B9 Patient experience and outcomes</t>
        </is>
      </c>
      <c r="B47" s="5" t="inlineStr">
        <is>
          <t>Ready to record Mezo outcome measures</t>
        </is>
      </c>
      <c r="C47" s="7" t="n"/>
      <c r="D47" s="7" t="n"/>
      <c r="E47" s="7" t="n"/>
    </row>
  </sheetData>
  <conditionalFormatting sqref="C2:C47">
    <cfRule type="cellIs" priority="1" operator="equal" dxfId="0">
      <formula>0</formula>
    </cfRule>
  </conditionalFormatting>
  <dataValidations count="1">
    <dataValidation sqref="C2 C3 C4 C5 C6 C7 C8 C9 C10 C11 C12 C13 C14 C15 C16 C17 C18 C19 C20 C21 C22 C23 C24 C25 C26 C27 C28 C29 C30 C31 C32 C33 C34 C35 C36 C37 C38 C39 C40 C41 C42 C43 C44 C45 C46 C47" showDropDown="0" showInputMessage="0" showErrorMessage="0" allowBlank="1" type="whole" operator="between">
      <formula1>0</formula1>
      <formula2>2</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60" customWidth="1" min="3" max="3"/>
    <col width="9" customWidth="1" min="4" max="4"/>
    <col width="40" customWidth="1" min="5" max="5"/>
  </cols>
  <sheetData>
    <row r="1">
      <c r="A1" s="6" t="inlineStr">
        <is>
          <t>Ref</t>
        </is>
      </c>
      <c r="B1" s="6" t="inlineStr">
        <is>
          <t>Tier</t>
        </is>
      </c>
      <c r="C1" s="6" t="inlineStr">
        <is>
          <t>Item</t>
        </is>
      </c>
      <c r="D1" s="6" t="inlineStr">
        <is>
          <t>Met?</t>
        </is>
      </c>
      <c r="E1" s="6" t="inlineStr">
        <is>
          <t>Note</t>
        </is>
      </c>
    </row>
    <row r="2">
      <c r="A2" t="inlineStr">
        <is>
          <t>T2a</t>
        </is>
      </c>
      <c r="B2" t="n">
        <v>2</v>
      </c>
      <c r="C2" s="5" t="inlineStr">
        <is>
          <t>Ward with 24-hour nursing and an on-call doctor</t>
        </is>
      </c>
      <c r="D2" s="2" t="n"/>
      <c r="E2" s="2" t="n"/>
    </row>
    <row r="3">
      <c r="A3" t="inlineStr">
        <is>
          <t>T2b</t>
        </is>
      </c>
      <c r="B3" t="n">
        <v>2</v>
      </c>
      <c r="C3" s="5" t="inlineStr">
        <is>
          <t>Blood available within one hour</t>
        </is>
      </c>
      <c r="D3" s="2" t="n"/>
      <c r="E3" s="2" t="n"/>
    </row>
    <row r="4">
      <c r="A4" t="inlineStr">
        <is>
          <t>T3a</t>
        </is>
      </c>
      <c r="B4" t="n">
        <v>3</v>
      </c>
      <c r="C4" s="5" t="inlineStr">
        <is>
          <t>High dependency beds on site</t>
        </is>
      </c>
      <c r="D4" s="2" t="n"/>
      <c r="E4" s="2" t="n"/>
    </row>
    <row r="5">
      <c r="A5" t="inlineStr">
        <is>
          <t>T3b</t>
        </is>
      </c>
      <c r="B5" t="n">
        <v>3</v>
      </c>
      <c r="C5" s="5" t="inlineStr">
        <is>
          <t>Intensive care on site or within 30 minutes by written agreement</t>
        </is>
      </c>
      <c r="D5" s="2" t="n"/>
      <c r="E5" s="2" t="n"/>
    </row>
    <row r="6">
      <c r="A6" t="inlineStr">
        <is>
          <t>T3c</t>
        </is>
      </c>
      <c r="B6" t="n">
        <v>3</v>
      </c>
      <c r="C6" s="5" t="inlineStr">
        <is>
          <t>Blood on site</t>
        </is>
      </c>
      <c r="D6" s="2" t="n"/>
      <c r="E6" s="2" t="n"/>
    </row>
    <row r="7">
      <c r="A7" t="inlineStr">
        <is>
          <t>T3d</t>
        </is>
      </c>
      <c r="B7" t="n">
        <v>3</v>
      </c>
      <c r="C7" s="5" t="inlineStr">
        <is>
          <t>Ultraclean air, or a documented surgical site infection rate, for implant work</t>
        </is>
      </c>
      <c r="D7" s="2" t="n"/>
      <c r="E7" s="2" t="n"/>
    </row>
    <row r="8">
      <c r="A8" t="inlineStr">
        <is>
          <t>T3e</t>
        </is>
      </c>
      <c r="B8" t="n">
        <v>3</v>
      </c>
      <c r="C8" s="5" t="inlineStr">
        <is>
          <t>Image intensifier where the approved procedures need it</t>
        </is>
      </c>
      <c r="D8" s="2" t="n"/>
      <c r="E8" s="2" t="n"/>
    </row>
  </sheetData>
  <dataValidations count="1">
    <dataValidation sqref="D2 D3 D4 D5 D6 D7 D8"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2026-10-12T11:39:41Z</dcterms:created>
  <dcterms:modified xmlns:dcterms="http://purl.org/dc/terms/" xmlns:xsi="http://www.w3.org/2001/XMLSchema-instance" xsi:type="dcterms:W3CDTF">2026-10-12T11:39:41Z</dcterms:modified>
</cp:coreProperties>
</file>